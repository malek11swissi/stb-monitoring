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6a58c222b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age" sheetId="1" r:id="Rb1b6b2981af84963"/>
    <x:sheet xmlns:r="http://schemas.openxmlformats.org/officeDocument/2006/relationships" name="Product Backlog" sheetId="2" r:id="Rcf81f2483604470b"/>
    <x:sheet xmlns:r="http://schemas.openxmlformats.org/officeDocument/2006/relationships" name="Import Jira" sheetId="3" r:id="Ra40c8a21b0504f9a"/>
    <x:sheet xmlns:r="http://schemas.openxmlformats.org/officeDocument/2006/relationships" name="Gantt" sheetId="4" r:id="Rf0d94dcfcd094b52"/>
    <x:sheet xmlns:r="http://schemas.openxmlformats.org/officeDocument/2006/relationships" name="Guide Jira" sheetId="5" r:id="Rb0d70a4fab0d430b"/>
  </x:sheets>
</x:workbook>
</file>

<file path=xl/comments1.xml><?xml version="1.0" encoding="utf-8"?>
<x:comments xmlns:x="http://schemas.openxmlformats.org/spreadsheetml/2006/main">
  <x:authors>
    <x:author>tc={F158DDE8-D994-72FE-E475-8F9EAB381311}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Lors de l’import CSV, mapper cette colonne vers Epic Link ou Parent selon le type de projet Jira.</x:t>
        </x:r>
      </x:text>
    </x:comment>
  </x:commentList>
</x:comments>
</file>

<file path=xl/comments2.xml><?xml version="1.0" encoding="utf-8"?>
<x:comments xmlns:x="http://schemas.openxmlformats.org/spreadsheetml/2006/main">
  <x:authors>
    <x:author>tc={26C17759-DA56-EA6E-5761-CDEB76E92463}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Les dates sont prévisionnelles. Modifier Début et Fin pour adapter le planning à la date réelle de soutenance.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dd/mm/yyyy"/>
    <x:numFmt numFmtId="202" formatCode="dd-mmm"/>
    <x:numFmt numFmtId="203" formatCode=";;;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1727E"/>
      <x:name val="Carlito"/>
    </x:font>
    <x:font>
      <x:b/>
      <x:sz val="11"/>
      <x:color rgb="FFFFFFFF"/>
      <x:name val="Carlito"/>
    </x:font>
    <x:font>
      <x:sz val="11"/>
      <x:color rgb="FF18252E"/>
      <x:name val="Carlito"/>
    </x:font>
    <x:font>
      <x:b/>
      <x:sz val="20"/>
      <x:color rgb="FF18252E"/>
      <x:name val="Aptos"/>
    </x:font>
    <x:font>
      <x:b/>
      <x:sz val="10"/>
      <x:color rgb="FF18252E"/>
      <x:name val="Aptos"/>
    </x:font>
    <x:font>
      <x:i/>
      <x:sz val="10"/>
      <x:color rgb="FF18252E"/>
      <x:name val="Aptos"/>
    </x:font>
    <x:font>
      <x:sz val="10"/>
      <x:color rgb="FF18252E"/>
      <x:name val="Aptos"/>
    </x:font>
    <x:font>
      <x:b/>
      <x:sz val="20"/>
      <x:color rgb="FFFFFFFF"/>
      <x:name val="Aptos"/>
    </x:font>
    <x:font>
      <x:i/>
      <x:sz val="10"/>
      <x:color rgb="FF61727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F0F5"/>
      </x:patternFill>
    </x:fill>
    <x:fill>
      <x:patternFill patternType="solid">
        <x:fgColor rgb="FF087E8B"/>
      </x:patternFill>
    </x:fill>
    <x:fill>
      <x:patternFill patternType="solid">
        <x:fgColor rgb="FFFFFFFF"/>
      </x:patternFill>
    </x:fill>
    <x:fill>
      <x:patternFill patternType="solid">
        <x:fgColor rgb="FFE7F5F3"/>
      </x:patternFill>
    </x:fill>
  </x:fills>
  <x:borders count="34">
    <x:border/>
    <x:border>
      <x:right style="thin">
        <x:color rgb="FFDDE6EA"/>
      </x:right>
      <x:bottom style="thin">
        <x:color rgb="FFDDE6EA"/>
      </x:bottom>
    </x:border>
    <x:border>
      <x:left style="thin">
        <x:color rgb="FFDDE6EA"/>
      </x:left>
      <x:bottom style="thin">
        <x:color rgb="FFDDE6EA"/>
      </x:bottom>
    </x:border>
    <x:border>
      <x:right style="thin">
        <x:color rgb="FFDDE6EA"/>
      </x:right>
      <x:top style="thin">
        <x:color rgb="FFDDE6EA"/>
      </x:top>
      <x:bottom style="thin">
        <x:color rgb="FFDDE6EA"/>
      </x:bottom>
    </x:border>
    <x:border>
      <x:left style="thin">
        <x:color rgb="FFDDE6EA"/>
      </x:left>
      <x:top style="thin">
        <x:color rgb="FFDDE6EA"/>
      </x:top>
      <x:bottom style="thin">
        <x:color rgb="FFDDE6EA"/>
      </x:bottom>
    </x:border>
    <x:border>
      <x:right style="thin">
        <x:color rgb="FFDDE6EA"/>
      </x:right>
      <x:top style="thin">
        <x:color rgb="FFDDE6EA"/>
      </x:top>
    </x:border>
    <x:border>
      <x:left style="thin">
        <x:color rgb="FFDDE6EA"/>
      </x:left>
      <x:top style="thin">
        <x:color rgb="FFDDE6EA"/>
      </x:top>
    </x:border>
    <x:border>
      <x:right style="thin">
        <x:color rgb="FFE0E8EC"/>
      </x:right>
      <x:bottom style="thin">
        <x:color rgb="FFE0E8EC"/>
      </x:bottom>
    </x:border>
    <x:border>
      <x:left style="thin">
        <x:color rgb="FFE0E8EC"/>
      </x:left>
      <x:right style="thin">
        <x:color rgb="FFE0E8EC"/>
      </x:right>
      <x:bottom style="thin">
        <x:color rgb="FFE0E8EC"/>
      </x:bottom>
    </x:border>
    <x:border>
      <x:left style="thin">
        <x:color rgb="FFE0E8EC"/>
      </x:left>
      <x:bottom style="thin">
        <x:color rgb="FFE0E8EC"/>
      </x:bottom>
    </x:border>
    <x:border>
      <x:right style="thin">
        <x:color rgb="FFE0E8EC"/>
      </x:right>
      <x:top style="thin">
        <x:color rgb="FFE0E8EC"/>
      </x:top>
      <x:bottom style="thin">
        <x:color rgb="FFE0E8EC"/>
      </x:bottom>
    </x:border>
    <x:border>
      <x:left style="thin">
        <x:color rgb="FFE0E8EC"/>
      </x:left>
      <x:right style="thin">
        <x:color rgb="FFE0E8EC"/>
      </x:right>
      <x:top style="thin">
        <x:color rgb="FFE0E8EC"/>
      </x:top>
      <x:bottom style="thin">
        <x:color rgb="FFE0E8EC"/>
      </x:bottom>
    </x:border>
    <x:border>
      <x:left style="thin">
        <x:color rgb="FFE0E8EC"/>
      </x:left>
      <x:top style="thin">
        <x:color rgb="FFE0E8EC"/>
      </x:top>
      <x:bottom style="thin">
        <x:color rgb="FFE0E8EC"/>
      </x:bottom>
    </x:border>
    <x:border>
      <x:right style="thin">
        <x:color rgb="FFE0E8EC"/>
      </x:right>
      <x:top style="thin">
        <x:color rgb="FFE0E8EC"/>
      </x:top>
    </x:border>
    <x:border>
      <x:left style="thin">
        <x:color rgb="FFE0E8EC"/>
      </x:left>
      <x:right style="thin">
        <x:color rgb="FFE0E8EC"/>
      </x:right>
      <x:top style="thin">
        <x:color rgb="FFE0E8EC"/>
      </x:top>
    </x:border>
    <x:border>
      <x:left style="thin">
        <x:color rgb="FFE0E8EC"/>
      </x:left>
      <x:top style="thin">
        <x:color rgb="FFE0E8EC"/>
      </x:top>
    </x:border>
    <x:border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bottom style="thin">
        <x:color rgb="FFE4EBEF"/>
      </x:bottom>
    </x:border>
    <x:border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top style="thin">
        <x:color rgb="FFE4EBEF"/>
      </x:top>
      <x:bottom style="thin">
        <x:color rgb="FFE4EBEF"/>
      </x:bottom>
    </x:border>
    <x:border>
      <x:right style="thin">
        <x:color rgb="FFE4EBEF"/>
      </x:right>
      <x:top style="thin">
        <x:color rgb="FFE4EBEF"/>
      </x:top>
    </x:border>
    <x:border>
      <x:left style="thin">
        <x:color rgb="FFE4EBEF"/>
      </x:left>
      <x:right style="thin">
        <x:color rgb="FFE4EBEF"/>
      </x:right>
      <x:top style="thin">
        <x:color rgb="FFE4EBEF"/>
      </x:top>
    </x:border>
    <x:border>
      <x:left style="thin">
        <x:color rgb="FFE4EBEF"/>
      </x:left>
      <x:top style="thin">
        <x:color rgb="FFE4EBEF"/>
      </x:top>
    </x:border>
    <x:border>
      <x:right style="thin">
        <x:color rgb="FFE2E9ED"/>
      </x:right>
      <x:bottom style="thin">
        <x:color rgb="FFE2E9ED"/>
      </x:bottom>
    </x:border>
    <x:border>
      <x:left style="thin">
        <x:color rgb="FFE2E9ED"/>
      </x:left>
      <x:right style="thin">
        <x:color rgb="FFE2E9ED"/>
      </x:right>
      <x:bottom style="thin">
        <x:color rgb="FFE2E9ED"/>
      </x:bottom>
    </x:border>
    <x:border>
      <x:left style="thin">
        <x:color rgb="FFE2E9ED"/>
      </x:left>
      <x:bottom style="thin">
        <x:color rgb="FFE2E9ED"/>
      </x:bottom>
    </x:border>
    <x:border>
      <x:right style="thin">
        <x:color rgb="FFE2E9ED"/>
      </x:right>
      <x:top style="thin">
        <x:color rgb="FFE2E9ED"/>
      </x:top>
      <x:bottom style="thin">
        <x:color rgb="FFE2E9ED"/>
      </x:bottom>
    </x:border>
    <x:border>
      <x:left style="thin">
        <x:color rgb="FFE2E9ED"/>
      </x:left>
      <x:right style="thin">
        <x:color rgb="FFE2E9ED"/>
      </x:right>
      <x:top style="thin">
        <x:color rgb="FFE2E9ED"/>
      </x:top>
      <x:bottom style="thin">
        <x:color rgb="FFE2E9ED"/>
      </x:bottom>
    </x:border>
    <x:border>
      <x:left style="thin">
        <x:color rgb="FFE2E9ED"/>
      </x:left>
      <x:top style="thin">
        <x:color rgb="FFE2E9ED"/>
      </x:top>
      <x:bottom style="thin">
        <x:color rgb="FFE2E9ED"/>
      </x:bottom>
    </x:border>
    <x:border>
      <x:right style="thin">
        <x:color rgb="FFE2E9ED"/>
      </x:right>
      <x:top style="thin">
        <x:color rgb="FFE2E9ED"/>
      </x:top>
    </x:border>
    <x:border>
      <x:left style="thin">
        <x:color rgb="FFE2E9ED"/>
      </x:left>
      <x:right style="thin">
        <x:color rgb="FFE2E9ED"/>
      </x:right>
      <x:top style="thin">
        <x:color rgb="FFE2E9ED"/>
      </x:top>
    </x:border>
    <x:border>
      <x:left style="thin">
        <x:color rgb="FFE2E9ED"/>
      </x:left>
      <x:top style="thin">
        <x:color rgb="FFE2E9ED"/>
      </x:top>
    </x:border>
  </x:borders>
  <x:cellStyleXfs count="1">
    <x:xf numFmtId="0" fontId="0" fillId="0" borderId="0"/>
  </x:cellStyleXfs>
  <x:cellXfs count="1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20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7" xfId="0" applyNumberFormat="1" applyFont="1" applyFill="1" applyBorder="1"/>
    <x:xf numFmtId="201" fontId="0" fillId="0" borderId="20" xfId="0" applyNumberFormat="1" applyFont="1" applyFill="1" applyBorder="1"/>
    <x:xf numFmtId="201" fontId="0" fillId="0" borderId="23" xfId="0" applyNumberFormat="1" applyFont="1" applyFill="1" applyBorder="1"/>
    <x:xf numFmtId="201" fontId="0" fillId="0" borderId="17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6" fillId="4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6" borderId="0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200" fontId="8" fillId="5" borderId="6" xfId="0" applyNumberFormat="1" applyFont="1" applyFill="1" applyBorder="1"/>
    <x:xf numFmtId="0" fontId="6" fillId="2" borderId="0" xfId="0" applyNumberFormat="1" applyFont="1" applyFill="1" applyBorder="1"/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20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20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200" fontId="8" fillId="0" borderId="23" xfId="0" applyNumberFormat="1" applyFont="1" applyFill="1" applyBorder="1" applyAlignment="1">
      <x:alignment wrapText="1"/>
    </x:xf>
    <x:xf numFmtId="0" fontId="8" fillId="0" borderId="24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8" fillId="0" borderId="24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/>
    <x:xf numFmtId="201" fontId="8" fillId="0" borderId="17" xfId="0" applyNumberFormat="1" applyFont="1" applyFill="1" applyBorder="1" applyAlignment="1">
      <x:alignment wrapText="1"/>
    </x:xf>
    <x:xf numFmtId="203" fontId="8" fillId="0" borderId="0" xfId="0" applyNumberFormat="1" applyFont="1" applyFill="1" applyBorder="1"/>
    <x:xf numFmtId="201" fontId="8" fillId="0" borderId="20" xfId="0" applyNumberFormat="1" applyFont="1" applyFill="1" applyBorder="1" applyAlignment="1">
      <x:alignment wrapText="1"/>
    </x:xf>
    <x:xf numFmtId="201" fontId="8" fillId="0" borderId="23" xfId="0" applyNumberFormat="1" applyFont="1" applyFill="1" applyBorder="1" applyAlignment="1">
      <x:alignment wrapText="1"/>
    </x:xf>
    <x:xf numFmtId="0" fontId="8" fillId="0" borderId="25" xfId="0" applyNumberFormat="1" applyFont="1" applyFill="1" applyBorder="1" applyAlignment="1">
      <x:alignment vertical="top" wrapText="1"/>
    </x:xf>
    <x:xf numFmtId="0" fontId="8" fillId="0" borderId="26" xfId="0" applyNumberFormat="1" applyFont="1" applyFill="1" applyBorder="1" applyAlignment="1">
      <x:alignment vertical="top" wrapText="1"/>
    </x:xf>
    <x:xf numFmtId="0" fontId="8" fillId="0" borderId="27" xfId="0" applyNumberFormat="1" applyFont="1" applyFill="1" applyBorder="1" applyAlignment="1">
      <x:alignment vertical="top" wrapText="1"/>
    </x:xf>
    <x:xf numFmtId="0" fontId="8" fillId="0" borderId="28" xfId="0" applyNumberFormat="1" applyFont="1" applyFill="1" applyBorder="1" applyAlignment="1">
      <x:alignment vertical="top" wrapText="1"/>
    </x:xf>
    <x:xf numFmtId="0" fontId="8" fillId="0" borderId="29" xfId="0" applyNumberFormat="1" applyFont="1" applyFill="1" applyBorder="1" applyAlignment="1">
      <x:alignment vertical="top" wrapText="1"/>
    </x:xf>
    <x:xf numFmtId="0" fontId="8" fillId="0" borderId="30" xfId="0" applyNumberFormat="1" applyFont="1" applyFill="1" applyBorder="1" applyAlignment="1">
      <x:alignment vertical="top" wrapText="1"/>
    </x:xf>
    <x:xf numFmtId="0" fontId="8" fillId="0" borderId="31" xfId="0" applyNumberFormat="1" applyFont="1" applyFill="1" applyBorder="1" applyAlignment="1">
      <x:alignment vertical="top" wrapText="1"/>
    </x:xf>
    <x:xf numFmtId="0" fontId="8" fillId="0" borderId="32" xfId="0" applyNumberFormat="1" applyFont="1" applyFill="1" applyBorder="1" applyAlignment="1">
      <x:alignment vertical="top" wrapText="1"/>
    </x:xf>
    <x:xf numFmtId="0" fontId="8" fillId="0" borderId="33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1">
    <x:dxf>
      <x:font>
        <x:b/>
        <x:color rgb="FF198754"/>
      </x:font>
      <x:fill>
        <x:patternFill patternType="solid">
          <x:bgColor rgb="FFDFF3E7"/>
        </x:patternFill>
      </x:fill>
    </x:dxf>
    <x:dxf>
      <x:font>
        <x:b/>
        <x:color rgb="FF9A5B00"/>
      </x:font>
      <x:fill>
        <x:patternFill patternType="solid">
          <x:bgColor rgb="FFFFF4DF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198754"/>
      </x:font>
      <x:fill>
        <x:patternFill patternType="solid">
          <x:bgColor rgb="FFDFF3E7"/>
        </x:patternFill>
      </x:fill>
    </x:dxf>
    <x:dxf>
      <x:font>
        <x:b/>
        <x:color rgb="FF9A5B00"/>
      </x:font>
      <x:fill>
        <x:patternFill patternType="solid">
          <x:bgColor rgb="FFFFF4DF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9A5B00"/>
      </x:font>
      <x:fill>
        <x:patternFill patternType="solid">
          <x:bgColor rgb="FFFFF4DF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  <x:dxf>
      <x:fill>
        <x:patternFill patternType="solid">
          <x:bgColor rgb="FF2CB5C0"/>
        </x:patternFill>
      </x:fill>
    </x:dxf>
    <x:dxf>
      <x:fill>
        <x:patternFill patternType="solid">
          <x:bgColor rgb="FF087E8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bfb0efa024533" /><Relationship Type="http://schemas.openxmlformats.org/officeDocument/2006/relationships/theme" Target="/xl/theme/theme1.xml" Id="R5bc9c90920f14db8" /><Relationship Type="http://schemas.openxmlformats.org/officeDocument/2006/relationships/sharedStrings" Target="/xl/sharedStrings.xml" Id="R98133b9aa9a34922" /><Relationship Type="http://schemas.openxmlformats.org/officeDocument/2006/relationships/worksheet" Target="/xl/worksheets/sheet1.xml" Id="Rb1b6b2981af84963" /><Relationship Type="http://schemas.openxmlformats.org/officeDocument/2006/relationships/worksheet" Target="/xl/worksheets/sheet2.xml" Id="Rcf81f2483604470b" /><Relationship Type="http://schemas.openxmlformats.org/officeDocument/2006/relationships/worksheet" Target="/xl/worksheets/sheet3.xml" Id="Ra40c8a21b0504f9a" /><Relationship Type="http://schemas.openxmlformats.org/officeDocument/2006/relationships/worksheet" Target="/xl/worksheets/sheet4.xml" Id="Rf0d94dcfcd094b52" /><Relationship Type="http://schemas.openxmlformats.org/officeDocument/2006/relationships/worksheet" Target="/xl/worksheets/sheet5.xml" Id="Rb0d70a4fab0d430b" /><Relationship Type="http://schemas.microsoft.com/office/2017/10/relationships/person" Target="/xl/persons/person.xml" Id="Rff091609fb3a4ffa" /></Relationships>
</file>

<file path=xl/persons/person.xml><?xml version="1.0" encoding="utf-8"?>
<xltc:personList xmlns:xltc="http://schemas.microsoft.com/office/spreadsheetml/2018/threadedcomments">
  <xltc:person displayName="Malek Jendoubi" id="{1444B38B-EF3C-4208-B311-1926365D9162}"/>
</xltc:personList>
</file>

<file path=xl/tables/table1.xml><?xml version="1.0" encoding="utf-8"?>
<x:table xmlns:x="http://schemas.openxmlformats.org/spreadsheetml/2006/main" id="1" name="ProductBacklogTable" displayName="ProductBacklogTable" ref="A4:G17" headerRowCount="1" totalsRowCount="0" totalsRowShown="0">
  <x:tableColumns count="7">
    <x:tableColumn id="1" name="Epic"/>
    <x:tableColumn id="2" name="Intitulé"/>
    <x:tableColumn id="3" name="MoSCoW"/>
    <x:tableColumn id="4" name="État réel"/>
    <x:tableColumn id="5" name="Avancement"/>
    <x:tableColumn id="6" name="Objectif métier"/>
    <x:tableColumn id="7" name="Po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raImportTable" displayName="JiraImportTable" ref="A4:J50" headerRowCount="1" totalsRowCount="0" totalsRowShown="0">
  <x:tableColumns count="10">
    <x:tableColumn id="1" name="External ID"/>
    <x:tableColumn id="2" name="Epic Link"/>
    <x:tableColumn id="3" name="Summary"/>
    <x:tableColumn id="4" name="Issue Type"/>
    <x:tableColumn id="5" name="Story Points"/>
    <x:tableColumn id="6" name="Sprint"/>
    <x:tableColumn id="7" name="Priority"/>
    <x:tableColumn id="8" name="Status"/>
    <x:tableColumn id="9" name="Description / Acceptance"/>
    <x:tableColumn id="10" name="Labe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PlanTable" displayName="SprintPlanTable" ref="A4:M15" headerRowCount="1" totalsRowCount="0" totalsRowShown="0">
  <x:tableColumns count="13">
    <x:tableColumn id="1" name="Sprint"/>
    <x:tableColumn id="2" name="Gestion"/>
    <x:tableColumn id="3" name="Objectif"/>
    <x:tableColumn id="4" name="État"/>
    <x:tableColumn id="5" name="Progression"/>
    <x:tableColumn id="6" name="Dépendance"/>
    <x:tableColumn id="7" name="Début"/>
    <x:tableColumn id="8" name="Fin"/>
    <x:tableColumn id="9" name="Durée (j)"/>
    <x:tableColumn id="10" name="SP prévus"/>
    <x:tableColumn id="11" name="SP réalisés"/>
    <x:tableColumn id="12" name="Risque"/>
    <x:tableColumn id="13" name="Respons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21T10:05:00.382" personId="{1444B38B-EF3C-4208-B311-1926365D9162}" id="{F158DDE8-D994-72FE-E475-8F9EAB381311}">
    <xltc:text>Lors de l’import CSV, mapper cette colonne vers Epic Link ou Parent selon le type de projet Jira.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5" dT="2026-08-21T10:05:00.381" personId="{1444B38B-EF3C-4208-B311-1926365D9162}" id="{26C17759-DA56-EA6E-5761-CDEB76E92463}">
    <xltc:text>Les dates sont prévisionnelles. Modifier Début et Fin pour adapter le planning à la date réelle de soutenance.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e7285f3f643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f87178161e0442aa" /><Relationship Type="http://schemas.openxmlformats.org/officeDocument/2006/relationships/vmlDrawing" Target="/xl/drawings/vmldrawing.vml" Id="R9418a7363a0b4f64" /><Relationship Type="http://schemas.microsoft.com/office/2017/10/relationships/threadedComment" Target="/xl/threadedcomments/threadedcomment.xml" Id="R88a6f33004284c79" /><Relationship Type="http://schemas.openxmlformats.org/officeDocument/2006/relationships/table" Target="/xl/tables/table2.xml" Id="R7d9c882d223c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c60873f761c54e6c" /><Relationship Type="http://schemas.openxmlformats.org/officeDocument/2006/relationships/vmlDrawing" Target="/xl/drawings/vmldrawing2.vml" Id="Rd1c82281f8fb4861" /><Relationship Type="http://schemas.microsoft.com/office/2017/10/relationships/threadedComment" Target="/xl/threadedcomments/threadedcomment2.xml" Id="R86e0cc2095b0466e" /><Relationship Type="http://schemas.openxmlformats.org/officeDocument/2006/relationships/table" Target="/xl/tables/table3.xml" Id="Rd4b6d8872eaa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</x:cols>
  <x:sheetData>
    <x:row r="1" ht="38" customHeight="1">
      <x:c r="A1" s="134" t="str">
        <x:v>STB Sentinel — Pilotage Jira et Gantt</x:v>
      </x:c>
      <x:c r="B1" s="134" t="str">
        <x:v>STB Sentinel — Pilotage Jira et Gantt</x:v>
      </x:c>
      <x:c r="C1" s="134" t="str">
        <x:v>STB Sentinel — Pilotage Jira et Gantt</x:v>
      </x:c>
      <x:c r="D1" s="134" t="str">
        <x:v>STB Sentinel — Pilotage Jira et Gantt</x:v>
      </x:c>
      <x:c r="E1" s="134" t="str">
        <x:v>STB Sentinel — Pilotage Jira et Gantt</x:v>
      </x:c>
      <x:c r="F1" s="134" t="str">
        <x:v>STB Sentinel — Pilotage Jira et Gantt</x:v>
      </x:c>
      <x:c r="G1" s="134" t="str">
        <x:v>STB Sentinel — Pilotage Jira et Gantt</x:v>
      </x:c>
      <x:c r="H1" s="134" t="str">
        <x:v>STB Sentinel — Pilotage Jira et Gantt</x:v>
      </x:c>
      <x:c r="I1" s="135"/>
      <x:c r="J1" s="135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  <x:c r="AA1" s="135"/>
      <x:c r="AB1" s="135"/>
      <x:c r="AC1" s="135"/>
      <x:c r="AD1" s="135"/>
      <x:c r="AE1" s="135"/>
      <x:c r="AF1" s="135"/>
      <x:c r="AG1" s="135"/>
      <x:c r="AH1" s="135"/>
      <x:c r="AI1" s="135"/>
      <x:c r="AJ1" s="135"/>
      <x:c r="AK1" s="135"/>
      <x:c r="AL1" s="135"/>
      <x:c r="AM1" s="135"/>
      <x:c r="AN1" s="135"/>
      <x:c r="AO1" s="135"/>
      <x:c r="AP1" s="135"/>
      <x:c r="AQ1" s="135"/>
      <x:c r="AR1" s="135"/>
      <x:c r="AS1" s="135"/>
      <x:c r="AT1" s="135"/>
      <x:c r="AU1" s="135"/>
      <x:c r="AV1" s="135"/>
      <x:c r="AW1" s="135"/>
      <x:c r="AX1" s="135"/>
      <x:c r="AY1" s="135"/>
      <x:c r="AZ1" s="135"/>
    </x:row>
    <x:row r="2" ht="30" customHeight="1">
      <x:c r="A2" s="136" t="str">
        <x:v>Planning prévisionnel au 21 août 2026 · sprints de deux semaines · dates ajustables</x:v>
      </x:c>
      <x:c r="B2" s="136" t="str">
        <x:v>Planning prévisionnel au 21 août 2026 · sprints de deux semaines · dates ajustables</x:v>
      </x:c>
      <x:c r="C2" s="136" t="str">
        <x:v>Planning prévisionnel au 21 août 2026 · sprints de deux semaines · dates ajustables</x:v>
      </x:c>
      <x:c r="D2" s="136" t="str">
        <x:v>Planning prévisionnel au 21 août 2026 · sprints de deux semaines · dates ajustables</x:v>
      </x:c>
      <x:c r="E2" s="136" t="str">
        <x:v>Planning prévisionnel au 21 août 2026 · sprints de deux semaines · dates ajustables</x:v>
      </x:c>
      <x:c r="F2" s="136" t="str">
        <x:v>Planning prévisionnel au 21 août 2026 · sprints de deux semaines · dates ajustables</x:v>
      </x:c>
      <x:c r="G2" s="136" t="str">
        <x:v>Planning prévisionnel au 21 août 2026 · sprints de deux semaines · dates ajustables</x:v>
      </x:c>
      <x:c r="H2" s="136" t="str">
        <x:v>Planning prévisionnel au 21 août 2026 · sprints de deux semaines · dates ajustables</x:v>
      </x:c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  <x:c r="AR2" s="137"/>
      <x:c r="AS2" s="137"/>
      <x:c r="AT2" s="137"/>
      <x:c r="AU2" s="137"/>
      <x:c r="AV2" s="137"/>
      <x:c r="AW2" s="137"/>
      <x:c r="AX2" s="137"/>
      <x:c r="AY2" s="137"/>
      <x:c r="AZ2" s="137"/>
    </x:row>
    <x:row r="3">
      <x:c r="A3" s="115"/>
      <x:c r="B3" s="115"/>
      <x:c r="C3" s="115"/>
      <x:c r="D3" s="115"/>
      <x:c r="E3" s="115"/>
      <x:c r="F3" s="115"/>
      <x:c r="G3" s="115"/>
      <x:c r="H3" s="115"/>
    </x:row>
    <x:row r="4">
      <x:c r="A4" s="116" t="str">
        <x:v>INDICATEUR</x:v>
      </x:c>
      <x:c r="B4" s="116" t="str">
        <x:v>VALEUR</x:v>
      </x:c>
      <x:c r="C4" s="115"/>
      <x:c r="D4" s="116" t="str">
        <x:v>Décisions de planification</x:v>
      </x:c>
      <x:c r="E4" s="116" t="str">
        <x:v>Décisions de planification</x:v>
      </x:c>
      <x:c r="F4" s="116" t="str">
        <x:v>Décisions de planification</x:v>
      </x:c>
      <x:c r="G4" s="116" t="str">
        <x:v>Décisions de planification</x:v>
      </x:c>
      <x:c r="H4" s="116" t="str">
        <x:v>Décisions de planification</x:v>
      </x:c>
    </x:row>
    <x:row r="5">
      <x:c r="A5" s="117" t="str">
        <x:v>Epics</x:v>
      </x:c>
      <x:c r="B5" s="118" t="n">
        <x:f>COUNTA('Product Backlog'!A5:A40)</x:f>
        <x:v>13</x:v>
      </x:c>
      <x:c r="C5" s="115"/>
      <x:c r="D5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E5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F5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G5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H5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</x:row>
    <x:row r="6">
      <x:c r="A6" s="120" t="str">
        <x:v>User Stories</x:v>
      </x:c>
      <x:c r="B6" s="121" t="n">
        <x:f>COUNTA('Import Jira'!A5:A100)</x:f>
        <x:v>46</x:v>
      </x:c>
      <x:c r="C6" s="115"/>
      <x:c r="D6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E6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F6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G6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H6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</x:row>
    <x:row r="7">
      <x:c r="A7" s="122" t="str">
        <x:v>Avancement pondéré</x:v>
      </x:c>
      <x:c r="B7" s="123" t="n">
        <x:f>SUMPRODUCT('Product Backlog'!E5:E17,'Product Backlog'!G5:G17)/SUM('Product Backlog'!G5:G17)</x:f>
        <x:v>0.6794117647058824</x:v>
      </x:c>
      <x:c r="C7" s="115"/>
      <x:c r="D7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E7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F7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G7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H7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</x:row>
    <x:row r="8">
      <x:c r="A8" s="115"/>
      <x:c r="B8" s="115"/>
      <x:c r="C8" s="115"/>
      <x:c r="D8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E8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F8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G8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H8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</x:row>
    <x:row r="9">
      <x:c r="A9" s="115"/>
      <x:c r="B9" s="115"/>
      <x:c r="C9" s="115"/>
      <x:c r="D9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E9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F9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G9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  <x:c r="H9" s="119" t="str">
        <x:v>1. Utiliser un projet Scrum géré par l’entreprise.
2. Hiérarchie : Epic → Story → Sous-tâche.
3. Conserver les états actuels dans un champ personnalisé.
4. Prioriser d’abord E2E, notifications réelles et DevOps.
5. Utiliser Timeline pour le Gantt d’un seul projet ; Plans pour plusieurs projets.</x:v>
      </x:c>
    </x:row>
    <x:row r="10">
      <x:c r="A10" s="115"/>
      <x:c r="B10" s="115"/>
      <x:c r="C10" s="115"/>
      <x:c r="D10" s="115"/>
      <x:c r="E10" s="115"/>
      <x:c r="F10" s="115"/>
      <x:c r="G10" s="115"/>
      <x:c r="H10" s="115"/>
    </x:row>
    <x:row r="11">
      <x:c r="A11" s="124" t="str">
        <x:v>Ordre conseillé des prochains travaux</x:v>
      </x:c>
      <x:c r="B11" s="124" t="str">
        <x:v>Ordre conseillé des prochains travaux</x:v>
      </x:c>
      <x:c r="C11" s="124" t="str">
        <x:v>Ordre conseillé des prochains travaux</x:v>
      </x:c>
      <x:c r="D11" s="124" t="str">
        <x:v>Ordre conseillé des prochains travaux</x:v>
      </x:c>
      <x:c r="E11" s="124" t="str">
        <x:v>Ordre conseillé des prochains travaux</x:v>
      </x:c>
      <x:c r="F11" s="124" t="str">
        <x:v>Ordre conseillé des prochains travaux</x:v>
      </x:c>
      <x:c r="G11" s="124" t="str">
        <x:v>Ordre conseillé des prochains travaux</x:v>
      </x:c>
      <x:c r="H11" s="124" t="str">
        <x:v>Ordre conseillé des prochains travaux</x:v>
      </x:c>
    </x:row>
    <x:row r="12">
      <x:c r="A12" s="125" t="str">
        <x:v>1</x:v>
      </x:c>
      <x:c r="B12" s="126" t="str">
        <x:v>Tests</x:v>
      </x:c>
      <x:c r="C12" s="126" t="str">
        <x:v>Démarrer PostgreSQL et valider tous les tests d’intégration</x:v>
      </x:c>
      <x:c r="D12" s="126" t="str">
        <x:v>Highest</x:v>
      </x:c>
      <x:c r="E12" s="126" t="str">
        <x:v>Sprint 10</x:v>
      </x:c>
      <x:c r="F12" s="127" t="str">
        <x:v>Bloquant pour la recette</x:v>
      </x:c>
      <x:c r="G12" s="115" t="str"/>
      <x:c r="H12" s="115" t="str"/>
    </x:row>
    <x:row r="13">
      <x:c r="A13" s="128" t="str">
        <x:v>2</x:v>
      </x:c>
      <x:c r="B13" s="129" t="str">
        <x:v>Notifications</x:v>
      </x:c>
      <x:c r="C13" s="129" t="str">
        <x:v>Configurer Brevo/Twilio et journaliser les envois</x:v>
      </x:c>
      <x:c r="D13" s="129" t="str">
        <x:v>Highest</x:v>
      </x:c>
      <x:c r="E13" s="129" t="str">
        <x:v>Sprint 6</x:v>
      </x:c>
      <x:c r="F13" s="130" t="str">
        <x:v>Validation réelle requise</x:v>
      </x:c>
      <x:c r="G13" s="115" t="str"/>
      <x:c r="H13" s="115" t="str"/>
    </x:row>
    <x:row r="14">
      <x:c r="A14" s="128" t="str">
        <x:v>3</x:v>
      </x:c>
      <x:c r="B14" s="129" t="str">
        <x:v>E2E</x:v>
      </x:c>
      <x:c r="C14" s="129" t="str">
        <x:v>Automatiser détection → alerte → incident → clôture</x:v>
      </x:c>
      <x:c r="D14" s="129" t="str">
        <x:v>Highest</x:v>
      </x:c>
      <x:c r="E14" s="129" t="str">
        <x:v>Sprint 10</x:v>
      </x:c>
      <x:c r="F14" s="130" t="str">
        <x:v>Critère majeur de soutenance</x:v>
      </x:c>
      <x:c r="G14" s="115" t="str"/>
      <x:c r="H14" s="115" t="str"/>
    </x:row>
    <x:row r="15">
      <x:c r="A15" s="128" t="str">
        <x:v>4</x:v>
      </x:c>
      <x:c r="B15" s="129" t="str">
        <x:v>DevOps</x:v>
      </x:c>
      <x:c r="C15" s="129" t="str">
        <x:v>Dockeriser plateforme puis Jenkins/Kubernetes</x:v>
      </x:c>
      <x:c r="D15" s="129" t="str">
        <x:v>High</x:v>
      </x:c>
      <x:c r="E15" s="129" t="str">
        <x:v>Sprint 9</x:v>
      </x:c>
      <x:c r="F15" s="130" t="str">
        <x:v>Industrialisation</x:v>
      </x:c>
      <x:c r="G15" s="115" t="str"/>
      <x:c r="H15" s="115" t="str"/>
    </x:row>
    <x:row r="16">
      <x:c r="A16" s="131" t="str">
        <x:v>5</x:v>
      </x:c>
      <x:c r="B16" s="132" t="str">
        <x:v>Profil</x:v>
      </x:c>
      <x:c r="C16" s="132" t="str">
        <x:v>Photo, compétences, disponibilité et badges qualité</x:v>
      </x:c>
      <x:c r="D16" s="132" t="str">
        <x:v>Medium</x:v>
      </x:c>
      <x:c r="E16" s="132" t="str">
        <x:v>Après MVP</x:v>
      </x:c>
      <x:c r="F16" s="133" t="str">
        <x:v>Valeur utilisateur</x:v>
      </x:c>
      <x:c r="G16" s="115" t="str"/>
      <x:c r="H16" s="115" t="str"/>
    </x:row>
  </x:sheetData>
  <x:mergeCells>
    <x:mergeCell ref="A1:H1"/>
    <x:mergeCell ref="A2:H2"/>
    <x:mergeCell ref="D4:H4"/>
    <x:mergeCell ref="D5:H9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55" hidden="0" customWidth="1"/>
    <x:col min="7" max="7" width="10" hidden="0" customWidth="1"/>
  </x:cols>
  <x:sheetData>
    <x:row r="1" ht="38" customHeight="1">
      <x:c r="A1" s="134" t="str">
        <x:v>Product Backlog STB Sentinel</x:v>
      </x:c>
      <x:c r="B1" s="134" t="str">
        <x:v>Product Backlog STB Sentinel</x:v>
      </x:c>
      <x:c r="C1" s="134" t="str">
        <x:v>Product Backlog STB Sentinel</x:v>
      </x:c>
      <x:c r="D1" s="134" t="str">
        <x:v>Product Backlog STB Sentinel</x:v>
      </x:c>
      <x:c r="E1" s="134" t="str">
        <x:v>Product Backlog STB Sentinel</x:v>
      </x:c>
      <x:c r="F1" s="134" t="str">
        <x:v>Product Backlog STB Sentinel</x:v>
      </x:c>
      <x:c r="G1" s="134" t="str">
        <x:v>Product Backlog STB Sentinel</x:v>
      </x:c>
      <x:c r="H1" s="135"/>
      <x:c r="I1" s="135"/>
      <x:c r="J1" s="135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  <x:c r="AA1" s="135"/>
      <x:c r="AB1" s="135"/>
      <x:c r="AC1" s="135"/>
      <x:c r="AD1" s="135"/>
      <x:c r="AE1" s="135"/>
      <x:c r="AF1" s="135"/>
      <x:c r="AG1" s="135"/>
      <x:c r="AH1" s="135"/>
      <x:c r="AI1" s="135"/>
      <x:c r="AJ1" s="135"/>
      <x:c r="AK1" s="135"/>
      <x:c r="AL1" s="135"/>
      <x:c r="AM1" s="135"/>
      <x:c r="AN1" s="135"/>
      <x:c r="AO1" s="135"/>
      <x:c r="AP1" s="135"/>
      <x:c r="AQ1" s="135"/>
      <x:c r="AR1" s="135"/>
      <x:c r="AS1" s="135"/>
      <x:c r="AT1" s="135"/>
      <x:c r="AU1" s="135"/>
      <x:c r="AV1" s="135"/>
      <x:c r="AW1" s="135"/>
      <x:c r="AX1" s="135"/>
      <x:c r="AY1" s="135"/>
      <x:c r="AZ1" s="135"/>
    </x:row>
    <x:row r="2" ht="30" customHeight="1">
      <x:c r="A2" s="136" t="str">
        <x:v>Epics ordonnés par valeur métier, état réel et avancement estimé</x:v>
      </x:c>
      <x:c r="B2" s="136" t="str">
        <x:v>Epics ordonnés par valeur métier, état réel et avancement estimé</x:v>
      </x:c>
      <x:c r="C2" s="136" t="str">
        <x:v>Epics ordonnés par valeur métier, état réel et avancement estimé</x:v>
      </x:c>
      <x:c r="D2" s="136" t="str">
        <x:v>Epics ordonnés par valeur métier, état réel et avancement estimé</x:v>
      </x:c>
      <x:c r="E2" s="136" t="str">
        <x:v>Epics ordonnés par valeur métier, état réel et avancement estimé</x:v>
      </x:c>
      <x:c r="F2" s="136" t="str">
        <x:v>Epics ordonnés par valeur métier, état réel et avancement estimé</x:v>
      </x:c>
      <x:c r="G2" s="136" t="str">
        <x:v>Epics ordonnés par valeur métier, état réel et avancement estimé</x:v>
      </x:c>
      <x:c r="H2" s="136" t="str">
        <x:v>Epics ordonnés par valeur métier, état réel et avancement estimé</x:v>
      </x:c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  <x:c r="AR2" s="137"/>
      <x:c r="AS2" s="137"/>
      <x:c r="AT2" s="137"/>
      <x:c r="AU2" s="137"/>
      <x:c r="AV2" s="137"/>
      <x:c r="AW2" s="137"/>
      <x:c r="AX2" s="137"/>
      <x:c r="AY2" s="137"/>
      <x:c r="AZ2" s="137"/>
    </x:row>
    <x:row r="3">
      <x:c r="A3" s="115"/>
      <x:c r="B3" s="115"/>
      <x:c r="C3" s="115"/>
      <x:c r="D3" s="115"/>
      <x:c r="E3" s="115"/>
      <x:c r="F3" s="115"/>
      <x:c r="G3" s="115"/>
      <x:c r="H3" s="115"/>
    </x:row>
    <x:row r="4">
      <x:c r="A4" s="124" t="str">
        <x:v>Epic</x:v>
      </x:c>
      <x:c r="B4" s="124" t="str">
        <x:v>Intitulé</x:v>
      </x:c>
      <x:c r="C4" s="124" t="str">
        <x:v>MoSCoW</x:v>
      </x:c>
      <x:c r="D4" s="124" t="str">
        <x:v>État réel</x:v>
      </x:c>
      <x:c r="E4" s="124" t="str">
        <x:v>Avancement</x:v>
      </x:c>
      <x:c r="F4" s="124" t="str">
        <x:v>Objectif métier</x:v>
      </x:c>
      <x:c r="G4" s="124" t="str">
        <x:v>Poids</x:v>
      </x:c>
      <x:c r="H4" s="115"/>
    </x:row>
    <x:row r="5">
      <x:c r="A5" s="138" t="str">
        <x:v>EP-01</x:v>
      </x:c>
      <x:c r="B5" s="139" t="str">
        <x:v>Identité, accès et profils</x:v>
      </x:c>
      <x:c r="C5" s="139" t="str">
        <x:v>Must</x:v>
      </x:c>
      <x:c r="D5" s="139" t="str">
        <x:v>Partiel</x:v>
      </x:c>
      <x:c r="E5" s="140" t="n">
        <x:v>0.8</x:v>
      </x:c>
      <x:c r="F5" s="139" t="str">
        <x:v>Sécuriser l’accès, le profil et les privilèges par acteur</x:v>
      </x:c>
      <x:c r="G5" s="141" t="n">
        <x:v>3</x:v>
      </x:c>
      <x:c r="H5" s="115"/>
    </x:row>
    <x:row r="6">
      <x:c r="A6" s="142" t="str">
        <x:v>EP-02</x:v>
      </x:c>
      <x:c r="B6" s="143" t="str">
        <x:v>Catalogue des systèmes d’information</x:v>
      </x:c>
      <x:c r="C6" s="143" t="str">
        <x:v>Must</x:v>
      </x:c>
      <x:c r="D6" s="143" t="str">
        <x:v>Implémenté</x:v>
      </x:c>
      <x:c r="E6" s="144" t="n">
        <x:v>0.9</x:v>
      </x:c>
      <x:c r="F6" s="143" t="str">
        <x:v>Configurer SI, environnements et endpoints sans recompilation</x:v>
      </x:c>
      <x:c r="G6" s="145" t="n">
        <x:v>3</x:v>
      </x:c>
      <x:c r="H6" s="115"/>
    </x:row>
    <x:row r="7">
      <x:c r="A7" s="142" t="str">
        <x:v>EP-03</x:v>
      </x:c>
      <x:c r="B7" s="143" t="str">
        <x:v>Moteur de monitoring</x:v>
      </x:c>
      <x:c r="C7" s="143" t="str">
        <x:v>Must</x:v>
      </x:c>
      <x:c r="D7" s="143" t="str">
        <x:v>Implémenté</x:v>
      </x:c>
      <x:c r="E7" s="144" t="n">
        <x:v>0.9</x:v>
      </x:c>
      <x:c r="F7" s="143" t="str">
        <x:v>Exécuter et historiser HTTP, API JSON, HTTPS et TLS</x:v>
      </x:c>
      <x:c r="G7" s="145" t="n">
        <x:v>3</x:v>
      </x:c>
      <x:c r="H7" s="115"/>
    </x:row>
    <x:row r="8">
      <x:c r="A8" s="142" t="str">
        <x:v>EP-04</x:v>
      </x:c>
      <x:c r="B8" s="143" t="str">
        <x:v>Alertes et règles</x:v>
      </x:c>
      <x:c r="C8" s="143" t="str">
        <x:v>Must</x:v>
      </x:c>
      <x:c r="D8" s="143" t="str">
        <x:v>Implémenté</x:v>
      </x:c>
      <x:c r="E8" s="144" t="n">
        <x:v>0.9</x:v>
      </x:c>
      <x:c r="F8" s="143" t="str">
        <x:v>Transformer les anomalies confirmées en alertes corrélées</x:v>
      </x:c>
      <x:c r="G8" s="145" t="n">
        <x:v>3</x:v>
      </x:c>
      <x:c r="H8" s="115"/>
    </x:row>
    <x:row r="9">
      <x:c r="A9" s="142" t="str">
        <x:v>EP-05</x:v>
      </x:c>
      <x:c r="B9" s="143" t="str">
        <x:v>Incidents et SLA</x:v>
      </x:c>
      <x:c r="C9" s="143" t="str">
        <x:v>Must</x:v>
      </x:c>
      <x:c r="D9" s="143" t="str">
        <x:v>Implémenté</x:v>
      </x:c>
      <x:c r="E9" s="144" t="n">
        <x:v>0.9</x:v>
      </x:c>
      <x:c r="F9" s="143" t="str">
        <x:v>Affecter, traiter, documenter, résoudre et clôturer</x:v>
      </x:c>
      <x:c r="G9" s="145" t="n">
        <x:v>3</x:v>
      </x:c>
      <x:c r="H9" s="115"/>
    </x:row>
    <x:row r="10">
      <x:c r="A10" s="142" t="str">
        <x:v>EP-06</x:v>
      </x:c>
      <x:c r="B10" s="143" t="str">
        <x:v>Notifications et escalades</x:v>
      </x:c>
      <x:c r="C10" s="143" t="str">
        <x:v>Must</x:v>
      </x:c>
      <x:c r="D10" s="143" t="str">
        <x:v>Partiel</x:v>
      </x:c>
      <x:c r="E10" s="144" t="n">
        <x:v>0.7</x:v>
      </x:c>
      <x:c r="F10" s="143" t="str">
        <x:v>Informer technicien, superviseur et manager IT</x:v>
      </x:c>
      <x:c r="G10" s="145" t="n">
        <x:v>3</x:v>
      </x:c>
      <x:c r="H10" s="115"/>
    </x:row>
    <x:row r="11">
      <x:c r="A11" s="142" t="str">
        <x:v>EP-07</x:v>
      </x:c>
      <x:c r="B11" s="143" t="str">
        <x:v>Maintenance et calendrier</x:v>
      </x:c>
      <x:c r="C11" s="143" t="str">
        <x:v>Must</x:v>
      </x:c>
      <x:c r="D11" s="143" t="str">
        <x:v>Implémenté</x:v>
      </x:c>
      <x:c r="E11" s="144" t="n">
        <x:v>0.9</x:v>
      </x:c>
      <x:c r="F11" s="143" t="str">
        <x:v>Planifier les maintenances et suspendre les alertes</x:v>
      </x:c>
      <x:c r="G11" s="145" t="n">
        <x:v>3</x:v>
      </x:c>
      <x:c r="H11" s="115"/>
    </x:row>
    <x:row r="12">
      <x:c r="A12" s="142" t="str">
        <x:v>EP-08</x:v>
      </x:c>
      <x:c r="B12" s="143" t="str">
        <x:v>Dashboard et rapports</x:v>
      </x:c>
      <x:c r="C12" s="143" t="str">
        <x:v>Must</x:v>
      </x:c>
      <x:c r="D12" s="143" t="str">
        <x:v>Partiel</x:v>
      </x:c>
      <x:c r="E12" s="144" t="n">
        <x:v>0.75</x:v>
      </x:c>
      <x:c r="F12" s="143" t="str">
        <x:v>Fournir KPI, filtres, vues et exports</x:v>
      </x:c>
      <x:c r="G12" s="145" t="n">
        <x:v>3</x:v>
      </x:c>
      <x:c r="H12" s="115"/>
    </x:row>
    <x:row r="13">
      <x:c r="A13" s="142" t="str">
        <x:v>EP-09</x:v>
      </x:c>
      <x:c r="B13" s="143" t="str">
        <x:v>Simulateurs des quatre SI</x:v>
      </x:c>
      <x:c r="C13" s="143" t="str">
        <x:v>Must</x:v>
      </x:c>
      <x:c r="D13" s="143" t="str">
        <x:v>Partiel</x:v>
      </x:c>
      <x:c r="E13" s="144" t="n">
        <x:v>0.75</x:v>
      </x:c>
      <x:c r="F13" s="143" t="str">
        <x:v>Tester sans accès aux SI réels</x:v>
      </x:c>
      <x:c r="G13" s="145" t="n">
        <x:v>3</x:v>
      </x:c>
      <x:c r="H13" s="115"/>
    </x:row>
    <x:row r="14">
      <x:c r="A14" s="142" t="str">
        <x:v>EP-10</x:v>
      </x:c>
      <x:c r="B14" s="143" t="str">
        <x:v>DevOps et observabilité</x:v>
      </x:c>
      <x:c r="C14" s="143" t="str">
        <x:v>Must</x:v>
      </x:c>
      <x:c r="D14" s="143" t="str">
        <x:v>Partiel</x:v>
      </x:c>
      <x:c r="E14" s="144" t="n">
        <x:v>0.2</x:v>
      </x:c>
      <x:c r="F14" s="143" t="str">
        <x:v>Industrialiser build, déploiement et supervision technique</x:v>
      </x:c>
      <x:c r="G14" s="145" t="n">
        <x:v>3</x:v>
      </x:c>
      <x:c r="H14" s="115"/>
    </x:row>
    <x:row r="15">
      <x:c r="A15" s="142" t="str">
        <x:v>EP-11</x:v>
      </x:c>
      <x:c r="B15" s="143" t="str">
        <x:v>IA et prédiction</x:v>
      </x:c>
      <x:c r="C15" s="143" t="str">
        <x:v>Should</x:v>
      </x:c>
      <x:c r="D15" s="143" t="str">
        <x:v>Non implémenté</x:v>
      </x:c>
      <x:c r="E15" s="144" t="n">
        <x:v>0</x:v>
      </x:c>
      <x:c r="F15" s="143" t="str">
        <x:v>Détecter les dérives et expliquer le risque</x:v>
      </x:c>
      <x:c r="G15" s="145" t="n">
        <x:v>2</x:v>
      </x:c>
      <x:c r="H15" s="115"/>
    </x:row>
    <x:row r="16">
      <x:c r="A16" s="142" t="str">
        <x:v>EP-12</x:v>
      </x:c>
      <x:c r="B16" s="143" t="str">
        <x:v>Remédiation contrôlée</x:v>
      </x:c>
      <x:c r="C16" s="143" t="str">
        <x:v>Could</x:v>
      </x:c>
      <x:c r="D16" s="143" t="str">
        <x:v>Non implémenté</x:v>
      </x:c>
      <x:c r="E16" s="144" t="n">
        <x:v>0</x:v>
      </x:c>
      <x:c r="F16" s="143" t="str">
        <x:v>Exécuter des actions autorisées en laboratoire</x:v>
      </x:c>
      <x:c r="G16" s="145" t="n">
        <x:v>1</x:v>
      </x:c>
      <x:c r="H16" s="115"/>
    </x:row>
    <x:row r="17">
      <x:c r="A17" s="146" t="str">
        <x:v>EP-13</x:v>
      </x:c>
      <x:c r="B17" s="147" t="str">
        <x:v>Profil enrichi et gamification</x:v>
      </x:c>
      <x:c r="C17" s="147" t="str">
        <x:v>Should</x:v>
      </x:c>
      <x:c r="D17" s="147" t="str">
        <x:v>Non implémenté</x:v>
      </x:c>
      <x:c r="E17" s="148" t="n">
        <x:v>0</x:v>
      </x:c>
      <x:c r="F17" s="147" t="str">
        <x:v>Photo, compétences, disponibilité et badges qualité</x:v>
      </x:c>
      <x:c r="G17" s="149" t="n">
        <x:v>1</x:v>
      </x:c>
      <x:c r="H17" s="115"/>
    </x:row>
  </x:sheetData>
  <x:mergeCells>
    <x:mergeCell ref="A1:G1"/>
    <x:mergeCell ref="A2:H2"/>
  </x:mergeCells>
  <x:conditionalFormatting sqref="D5:D17">
    <x:cfRule type="containsText" dxfId="0" priority="1" operator="containsText" text="Implémenté"/>
    <x:cfRule type="containsText" dxfId="1" priority="2" operator="containsText" text="Partiel"/>
    <x:cfRule type="containsText" dxfId="2" priority="3" operator="containsText" text="Non implémenté"/>
  </x:conditionalFormatting>
  <x:conditionalFormatting sqref="E5:E17">
    <x:cfRule type="dataBar" priority="4">
      <x:dataBar>
        <x:cfvo type="min"/>
        <x:cfvo type="max"/>
        <x:color rgb="FF087E8B"/>
      </x:dataBar>
      <x:extLst>
        <x:ext xmlns:x14="http://schemas.microsoft.com/office/spreadsheetml/2009/9/main" uri="{B025F937-C7B1-47D3-B67F-A62EFF666E3E}">
          <x14:id>{EF92B614-8A3B-3CC7-DE28-5EDFEC433421}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9e7285f3f643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F92B614-8A3B-3CC7-DE28-5EDFEC433421}">
            <x14:dataBar gradient="1">
              <x14:cfvo type="min"/>
              <x14:cfvo type="max"/>
              <x14:fillColor rgb="FF087E8B"/>
            </x14:dataBar>
          </x14:cfRule>
          <xm:sqref>E5:E17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3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55" hidden="0" customWidth="1"/>
    <x:col min="10" max="10" width="24" hidden="0" customWidth="1"/>
  </x:cols>
  <x:sheetData>
    <x:row r="1" ht="38" customHeight="1">
      <x:c r="A1" s="134" t="str">
        <x:v>Backlog prêt pour Jira</x:v>
      </x:c>
      <x:c r="B1" s="134" t="str">
        <x:v>Backlog prêt pour Jira</x:v>
      </x:c>
      <x:c r="C1" s="134" t="str">
        <x:v>Backlog prêt pour Jira</x:v>
      </x:c>
      <x:c r="D1" s="134" t="str">
        <x:v>Backlog prêt pour Jira</x:v>
      </x:c>
      <x:c r="E1" s="134" t="str">
        <x:v>Backlog prêt pour Jira</x:v>
      </x:c>
      <x:c r="F1" s="134" t="str">
        <x:v>Backlog prêt pour Jira</x:v>
      </x:c>
      <x:c r="G1" s="134" t="str">
        <x:v>Backlog prêt pour Jira</x:v>
      </x:c>
      <x:c r="H1" s="134" t="str">
        <x:v>Backlog prêt pour Jira</x:v>
      </x:c>
      <x:c r="I1" s="134" t="str">
        <x:v>Backlog prêt pour Jira</x:v>
      </x:c>
      <x:c r="J1" s="134" t="str">
        <x:v>Backlog prêt pour Jira</x:v>
      </x:c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  <x:c r="AA1" s="135"/>
      <x:c r="AB1" s="135"/>
      <x:c r="AC1" s="135"/>
      <x:c r="AD1" s="135"/>
      <x:c r="AE1" s="135"/>
      <x:c r="AF1" s="135"/>
      <x:c r="AG1" s="135"/>
      <x:c r="AH1" s="135"/>
      <x:c r="AI1" s="135"/>
      <x:c r="AJ1" s="135"/>
      <x:c r="AK1" s="135"/>
      <x:c r="AL1" s="135"/>
      <x:c r="AM1" s="135"/>
      <x:c r="AN1" s="135"/>
      <x:c r="AO1" s="135"/>
      <x:c r="AP1" s="135"/>
      <x:c r="AQ1" s="135"/>
      <x:c r="AR1" s="135"/>
      <x:c r="AS1" s="135"/>
      <x:c r="AT1" s="135"/>
      <x:c r="AU1" s="135"/>
      <x:c r="AV1" s="135"/>
      <x:c r="AW1" s="135"/>
      <x:c r="AX1" s="135"/>
      <x:c r="AY1" s="135"/>
      <x:c r="AZ1" s="135"/>
    </x:row>
    <x:row r="2" ht="30" customHeight="1">
      <x:c r="A2" s="136" t="str">
        <x:v>Copier cette feuille en CSV UTF-8 puis mapper les colonnes dans l’assistant d’import Jira</x:v>
      </x:c>
      <x:c r="B2" s="136" t="str">
        <x:v>Copier cette feuille en CSV UTF-8 puis mapper les colonnes dans l’assistant d’import Jira</x:v>
      </x:c>
      <x:c r="C2" s="136" t="str">
        <x:v>Copier cette feuille en CSV UTF-8 puis mapper les colonnes dans l’assistant d’import Jira</x:v>
      </x:c>
      <x:c r="D2" s="136" t="str">
        <x:v>Copier cette feuille en CSV UTF-8 puis mapper les colonnes dans l’assistant d’import Jira</x:v>
      </x:c>
      <x:c r="E2" s="136" t="str">
        <x:v>Copier cette feuille en CSV UTF-8 puis mapper les colonnes dans l’assistant d’import Jira</x:v>
      </x:c>
      <x:c r="F2" s="136" t="str">
        <x:v>Copier cette feuille en CSV UTF-8 puis mapper les colonnes dans l’assistant d’import Jira</x:v>
      </x:c>
      <x:c r="G2" s="136" t="str">
        <x:v>Copier cette feuille en CSV UTF-8 puis mapper les colonnes dans l’assistant d’import Jira</x:v>
      </x:c>
      <x:c r="H2" s="136" t="str">
        <x:v>Copier cette feuille en CSV UTF-8 puis mapper les colonnes dans l’assistant d’import Jira</x:v>
      </x:c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  <x:c r="AR2" s="137"/>
      <x:c r="AS2" s="137"/>
      <x:c r="AT2" s="137"/>
      <x:c r="AU2" s="137"/>
      <x:c r="AV2" s="137"/>
      <x:c r="AW2" s="137"/>
      <x:c r="AX2" s="137"/>
      <x:c r="AY2" s="137"/>
      <x:c r="AZ2" s="137"/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</x:row>
    <x:row r="4">
      <x:c r="A4" s="150" t="str">
        <x:v>External ID</x:v>
      </x:c>
      <x:c r="B4" s="150" t="str">
        <x:v>Epic Link</x:v>
      </x:c>
      <x:c r="C4" s="150" t="str">
        <x:v>Summary</x:v>
      </x:c>
      <x:c r="D4" s="150" t="str">
        <x:v>Issue Type</x:v>
      </x:c>
      <x:c r="E4" s="150" t="str">
        <x:v>Story Points</x:v>
      </x:c>
      <x:c r="F4" s="150" t="str">
        <x:v>Sprint</x:v>
      </x:c>
      <x:c r="G4" s="150" t="str">
        <x:v>Priority</x:v>
      </x:c>
      <x:c r="H4" s="150" t="str">
        <x:v>Status</x:v>
      </x:c>
      <x:c r="I4" s="150" t="str">
        <x:v>Description / Acceptance</x:v>
      </x:c>
      <x:c r="J4" s="150" t="str">
        <x:v>Labels</x:v>
      </x:c>
    </x:row>
    <x:row r="5">
      <x:c r="A5" s="151" t="str">
        <x:v>US-001</x:v>
      </x:c>
      <x:c r="B5" s="152" t="str">
        <x:v>EP-01</x:v>
      </x:c>
      <x:c r="C5" s="152" t="str">
        <x:v>Configurer l’architecture et le dépôt</x:v>
      </x:c>
      <x:c r="D5" s="152" t="str">
        <x:v>Story</x:v>
      </x:c>
      <x:c r="E5" s="152" t="n">
        <x:v>5</x:v>
      </x:c>
      <x:c r="F5" s="152" t="str">
        <x:v>Sprint 0</x:v>
      </x:c>
      <x:c r="G5" s="152" t="str">
        <x:v>Highest</x:v>
      </x:c>
      <x:c r="H5" s="152" t="str">
        <x:v>Terminé</x:v>
      </x:c>
      <x:c r="I5" s="152" t="str">
        <x:v>Architecture en couches et solution .NET/Angular</x:v>
      </x:c>
      <x:c r="J5" s="153" t="str">
        <x:v>stb-sentinel,sprint-0</x:v>
      </x:c>
    </x:row>
    <x:row r="6">
      <x:c r="A6" s="154" t="str">
        <x:v>US-002</x:v>
      </x:c>
      <x:c r="B6" s="155" t="str">
        <x:v>EP-10</x:v>
      </x:c>
      <x:c r="C6" s="155" t="str">
        <x:v>Préparer Docker Compose PostgreSQL</x:v>
      </x:c>
      <x:c r="D6" s="155" t="str">
        <x:v>Story</x:v>
      </x:c>
      <x:c r="E6" s="155" t="n">
        <x:v>3</x:v>
      </x:c>
      <x:c r="F6" s="155" t="str">
        <x:v>Sprint 0</x:v>
      </x:c>
      <x:c r="G6" s="155" t="str">
        <x:v>High</x:v>
      </x:c>
      <x:c r="H6" s="155" t="str">
        <x:v>Terminé</x:v>
      </x:c>
      <x:c r="I6" s="155" t="str">
        <x:v>Base locale reproductible</x:v>
      </x:c>
      <x:c r="J6" s="156" t="str">
        <x:v>stb-sentinel,sprint-0</x:v>
      </x:c>
    </x:row>
    <x:row r="7">
      <x:c r="A7" s="154" t="str">
        <x:v>US-003</x:v>
      </x:c>
      <x:c r="B7" s="155" t="str">
        <x:v>EP-10</x:v>
      </x:c>
      <x:c r="C7" s="155" t="str">
        <x:v>Créer un pipeline Jenkins minimal</x:v>
      </x:c>
      <x:c r="D7" s="155" t="str">
        <x:v>Story</x:v>
      </x:c>
      <x:c r="E7" s="155" t="n">
        <x:v>5</x:v>
      </x:c>
      <x:c r="F7" s="155" t="str">
        <x:v>Sprint 0</x:v>
      </x:c>
      <x:c r="G7" s="155" t="str">
        <x:v>High</x:v>
      </x:c>
      <x:c r="H7" s="155" t="str">
        <x:v>À faire</x:v>
      </x:c>
      <x:c r="I7" s="155" t="str">
        <x:v>Build et tests automatiques</x:v>
      </x:c>
      <x:c r="J7" s="156" t="str">
        <x:v>stb-sentinel,sprint-0</x:v>
      </x:c>
    </x:row>
    <x:row r="8">
      <x:c r="A8" s="154" t="str">
        <x:v>US-101</x:v>
      </x:c>
      <x:c r="B8" s="155" t="str">
        <x:v>EP-01</x:v>
      </x:c>
      <x:c r="C8" s="155" t="str">
        <x:v>Se connecter avec JWT</x:v>
      </x:c>
      <x:c r="D8" s="155" t="str">
        <x:v>Story</x:v>
      </x:c>
      <x:c r="E8" s="155" t="n">
        <x:v>5</x:v>
      </x:c>
      <x:c r="F8" s="155" t="str">
        <x:v>Sprint 1</x:v>
      </x:c>
      <x:c r="G8" s="155" t="str">
        <x:v>Highest</x:v>
      </x:c>
      <x:c r="H8" s="155" t="str">
        <x:v>Terminé</x:v>
      </x:c>
      <x:c r="I8" s="155" t="str">
        <x:v>Compte inactif refusé</x:v>
      </x:c>
      <x:c r="J8" s="156" t="str">
        <x:v>stb-sentinel,sprint-1</x:v>
      </x:c>
    </x:row>
    <x:row r="9">
      <x:c r="A9" s="154" t="str">
        <x:v>US-102</x:v>
      </x:c>
      <x:c r="B9" s="155" t="str">
        <x:v>EP-01</x:v>
      </x:c>
      <x:c r="C9" s="155" t="str">
        <x:v>Gérer les utilisateurs et rôles</x:v>
      </x:c>
      <x:c r="D9" s="155" t="str">
        <x:v>Story</x:v>
      </x:c>
      <x:c r="E9" s="155" t="n">
        <x:v>8</x:v>
      </x:c>
      <x:c r="F9" s="155" t="str">
        <x:v>Sprint 1</x:v>
      </x:c>
      <x:c r="G9" s="155" t="str">
        <x:v>Highest</x:v>
      </x:c>
      <x:c r="H9" s="155" t="str">
        <x:v>Terminé</x:v>
      </x:c>
      <x:c r="I9" s="155" t="str">
        <x:v>Admin gère les comptes</x:v>
      </x:c>
      <x:c r="J9" s="156" t="str">
        <x:v>stb-sentinel,sprint-1</x:v>
      </x:c>
    </x:row>
    <x:row r="10">
      <x:c r="A10" s="154" t="str">
        <x:v>US-103</x:v>
      </x:c>
      <x:c r="B10" s="155" t="str">
        <x:v>EP-01</x:v>
      </x:c>
      <x:c r="C10" s="155" t="str">
        <x:v>Tracer les actions sensibles</x:v>
      </x:c>
      <x:c r="D10" s="155" t="str">
        <x:v>Story</x:v>
      </x:c>
      <x:c r="E10" s="155" t="n">
        <x:v>5</x:v>
      </x:c>
      <x:c r="F10" s="155" t="str">
        <x:v>Sprint 1</x:v>
      </x:c>
      <x:c r="G10" s="155" t="str">
        <x:v>High</x:v>
      </x:c>
      <x:c r="H10" s="155" t="str">
        <x:v>Terminé</x:v>
      </x:c>
      <x:c r="I10" s="155" t="str">
        <x:v>Audit consultable et nettoyé</x:v>
      </x:c>
      <x:c r="J10" s="156" t="str">
        <x:v>stb-sentinel,sprint-1</x:v>
      </x:c>
    </x:row>
    <x:row r="11">
      <x:c r="A11" s="154" t="str">
        <x:v>US-104</x:v>
      </x:c>
      <x:c r="B11" s="155" t="str">
        <x:v>EP-13</x:v>
      </x:c>
      <x:c r="C11" s="155" t="str">
        <x:v>Ajouter photo, compétences et badges</x:v>
      </x:c>
      <x:c r="D11" s="155" t="str">
        <x:v>Story</x:v>
      </x:c>
      <x:c r="E11" s="155" t="n">
        <x:v>8</x:v>
      </x:c>
      <x:c r="F11" s="155" t="str">
        <x:v>Sprint 1</x:v>
      </x:c>
      <x:c r="G11" s="155" t="str">
        <x:v>Medium</x:v>
      </x:c>
      <x:c r="H11" s="155" t="str">
        <x:v>À faire</x:v>
      </x:c>
      <x:c r="I11" s="155" t="str">
        <x:v>Profil enrichi du technicien</x:v>
      </x:c>
      <x:c r="J11" s="156" t="str">
        <x:v>stb-sentinel,sprint-1</x:v>
      </x:c>
    </x:row>
    <x:row r="12">
      <x:c r="A12" s="154" t="str">
        <x:v>US-201</x:v>
      </x:c>
      <x:c r="B12" s="155" t="str">
        <x:v>EP-02</x:v>
      </x:c>
      <x:c r="C12" s="155" t="str">
        <x:v>Créer un SI et son environnement</x:v>
      </x:c>
      <x:c r="D12" s="155" t="str">
        <x:v>Story</x:v>
      </x:c>
      <x:c r="E12" s="155" t="n">
        <x:v>8</x:v>
      </x:c>
      <x:c r="F12" s="155" t="str">
        <x:v>Sprint 2</x:v>
      </x:c>
      <x:c r="G12" s="155" t="str">
        <x:v>Highest</x:v>
      </x:c>
      <x:c r="H12" s="155" t="str">
        <x:v>Terminé</x:v>
      </x:c>
      <x:c r="I12" s="155" t="str">
        <x:v>Dev, Test, Préprod et Production</x:v>
      </x:c>
      <x:c r="J12" s="156" t="str">
        <x:v>stb-sentinel,sprint-2</x:v>
      </x:c>
    </x:row>
    <x:row r="13">
      <x:c r="A13" s="154" t="str">
        <x:v>US-202</x:v>
      </x:c>
      <x:c r="B13" s="155" t="str">
        <x:v>EP-02</x:v>
      </x:c>
      <x:c r="C13" s="155" t="str">
        <x:v>Configurer endpoint, fréquence et seuils</x:v>
      </x:c>
      <x:c r="D13" s="155" t="str">
        <x:v>Story</x:v>
      </x:c>
      <x:c r="E13" s="155" t="n">
        <x:v>8</x:v>
      </x:c>
      <x:c r="F13" s="155" t="str">
        <x:v>Sprint 2</x:v>
      </x:c>
      <x:c r="G13" s="155" t="str">
        <x:v>Highest</x:v>
      </x:c>
      <x:c r="H13" s="155" t="str">
        <x:v>Terminé</x:v>
      </x:c>
      <x:c r="I13" s="155" t="str">
        <x:v>HTTP, API JSON ou TLS</x:v>
      </x:c>
      <x:c r="J13" s="156" t="str">
        <x:v>stb-sentinel,sprint-2</x:v>
      </x:c>
    </x:row>
    <x:row r="14">
      <x:c r="A14" s="154" t="str">
        <x:v>US-203</x:v>
      </x:c>
      <x:c r="B14" s="155" t="str">
        <x:v>EP-02</x:v>
      </x:c>
      <x:c r="C14" s="155" t="str">
        <x:v>Gérer authentification et secrets endpoint</x:v>
      </x:c>
      <x:c r="D14" s="155" t="str">
        <x:v>Story</x:v>
      </x:c>
      <x:c r="E14" s="155" t="n">
        <x:v>8</x:v>
      </x:c>
      <x:c r="F14" s="155" t="str">
        <x:v>Sprint 2</x:v>
      </x:c>
      <x:c r="G14" s="155" t="str">
        <x:v>High</x:v>
      </x:c>
      <x:c r="H14" s="155" t="str">
        <x:v>À faire</x:v>
      </x:c>
      <x:c r="I14" s="155" t="str">
        <x:v>API Key, Basic, OAuth2 et références de secrets</x:v>
      </x:c>
      <x:c r="J14" s="156" t="str">
        <x:v>stb-sentinel,sprint-2</x:v>
      </x:c>
    </x:row>
    <x:row r="15">
      <x:c r="A15" s="154" t="str">
        <x:v>US-301</x:v>
      </x:c>
      <x:c r="B15" s="155" t="str">
        <x:v>EP-03</x:v>
      </x:c>
      <x:c r="C15" s="155" t="str">
        <x:v>Lancer un contrôle manuel</x:v>
      </x:c>
      <x:c r="D15" s="155" t="str">
        <x:v>Story</x:v>
      </x:c>
      <x:c r="E15" s="155" t="n">
        <x:v>5</x:v>
      </x:c>
      <x:c r="F15" s="155" t="str">
        <x:v>Sprint 3</x:v>
      </x:c>
      <x:c r="G15" s="155" t="str">
        <x:v>High</x:v>
      </x:c>
      <x:c r="H15" s="155" t="str">
        <x:v>Terminé</x:v>
      </x:c>
      <x:c r="I15" s="155" t="str">
        <x:v>Action réservée au superviseur</x:v>
      </x:c>
      <x:c r="J15" s="156" t="str">
        <x:v>stb-sentinel,sprint-3</x:v>
      </x:c>
    </x:row>
    <x:row r="16">
      <x:c r="A16" s="154" t="str">
        <x:v>US-302</x:v>
      </x:c>
      <x:c r="B16" s="155" t="str">
        <x:v>EP-03</x:v>
      </x:c>
      <x:c r="C16" s="155" t="str">
        <x:v>Planifier les contrôles avec verrou distribué</x:v>
      </x:c>
      <x:c r="D16" s="155" t="str">
        <x:v>Story</x:v>
      </x:c>
      <x:c r="E16" s="155" t="n">
        <x:v>8</x:v>
      </x:c>
      <x:c r="F16" s="155" t="str">
        <x:v>Sprint 3</x:v>
      </x:c>
      <x:c r="G16" s="155" t="str">
        <x:v>Highest</x:v>
      </x:c>
      <x:c r="H16" s="155" t="str">
        <x:v>Terminé</x:v>
      </x:c>
      <x:c r="I16" s="155" t="str">
        <x:v>Aucune double exécution multi-instance</x:v>
      </x:c>
      <x:c r="J16" s="156" t="str">
        <x:v>stb-sentinel,sprint-3</x:v>
      </x:c>
    </x:row>
    <x:row r="17">
      <x:c r="A17" s="154" t="str">
        <x:v>US-303</x:v>
      </x:c>
      <x:c r="B17" s="155" t="str">
        <x:v>EP-03</x:v>
      </x:c>
      <x:c r="C17" s="155" t="str">
        <x:v>Contrôler HTTP et API JSON</x:v>
      </x:c>
      <x:c r="D17" s="155" t="str">
        <x:v>Story</x:v>
      </x:c>
      <x:c r="E17" s="155" t="n">
        <x:v>8</x:v>
      </x:c>
      <x:c r="F17" s="155" t="str">
        <x:v>Sprint 3</x:v>
      </x:c>
      <x:c r="G17" s="155" t="str">
        <x:v>Highest</x:v>
      </x:c>
      <x:c r="H17" s="155" t="str">
        <x:v>Terminé</x:v>
      </x:c>
      <x:c r="I17" s="155" t="str">
        <x:v>Code, contenu, timeout et latence</x:v>
      </x:c>
      <x:c r="J17" s="156" t="str">
        <x:v>stb-sentinel,sprint-3</x:v>
      </x:c>
    </x:row>
    <x:row r="18">
      <x:c r="A18" s="154" t="str">
        <x:v>US-304</x:v>
      </x:c>
      <x:c r="B18" s="155" t="str">
        <x:v>EP-03</x:v>
      </x:c>
      <x:c r="C18" s="155" t="str">
        <x:v>Valider toute la chaîne TLS</x:v>
      </x:c>
      <x:c r="D18" s="155" t="str">
        <x:v>Story</x:v>
      </x:c>
      <x:c r="E18" s="155" t="n">
        <x:v>8</x:v>
      </x:c>
      <x:c r="F18" s="155" t="str">
        <x:v>Sprint 3</x:v>
      </x:c>
      <x:c r="G18" s="155" t="str">
        <x:v>Highest</x:v>
      </x:c>
      <x:c r="H18" s="155" t="str">
        <x:v>Terminé</x:v>
      </x:c>
      <x:c r="I18" s="155" t="str">
        <x:v>Expiration, hôte, confiance et handshake</x:v>
      </x:c>
      <x:c r="J18" s="156" t="str">
        <x:v>stb-sentinel,sprint-3</x:v>
      </x:c>
    </x:row>
    <x:row r="19">
      <x:c r="A19" s="154" t="str">
        <x:v>US-305</x:v>
      </x:c>
      <x:c r="B19" s="155" t="str">
        <x:v>EP-03</x:v>
      </x:c>
      <x:c r="C19" s="155" t="str">
        <x:v>Télécharger une preuve technique</x:v>
      </x:c>
      <x:c r="D19" s="155" t="str">
        <x:v>Story</x:v>
      </x:c>
      <x:c r="E19" s="155" t="n">
        <x:v>5</x:v>
      </x:c>
      <x:c r="F19" s="155" t="str">
        <x:v>Sprint 3</x:v>
      </x:c>
      <x:c r="G19" s="155" t="str">
        <x:v>Medium</x:v>
      </x:c>
      <x:c r="H19" s="155" t="str">
        <x:v>En cours</x:v>
      </x:c>
      <x:c r="I19" s="155" t="str">
        <x:v>Formaliser le téléchargement du résultat</x:v>
      </x:c>
      <x:c r="J19" s="156" t="str">
        <x:v>stb-sentinel,sprint-3</x:v>
      </x:c>
    </x:row>
    <x:row r="20">
      <x:c r="A20" s="154" t="str">
        <x:v>US-401</x:v>
      </x:c>
      <x:c r="B20" s="155" t="str">
        <x:v>EP-09</x:v>
      </x:c>
      <x:c r="C20" s="155" t="str">
        <x:v>Simuler Core Banking avec Oracle</x:v>
      </x:c>
      <x:c r="D20" s="155" t="str">
        <x:v>Story</x:v>
      </x:c>
      <x:c r="E20" s="155" t="n">
        <x:v>8</x:v>
      </x:c>
      <x:c r="F20" s="155" t="str">
        <x:v>Sprint 4</x:v>
      </x:c>
      <x:c r="G20" s="155" t="str">
        <x:v>High</x:v>
      </x:c>
      <x:c r="H20" s="155" t="str">
        <x:v>Terminé</x:v>
      </x:c>
      <x:c r="I20" s="155" t="str">
        <x:v>Service et base indépendants</x:v>
      </x:c>
      <x:c r="J20" s="156" t="str">
        <x:v>stb-sentinel,sprint-4</x:v>
      </x:c>
    </x:row>
    <x:row r="21">
      <x:c r="A21" s="154" t="str">
        <x:v>US-402</x:v>
      </x:c>
      <x:c r="B21" s="155" t="str">
        <x:v>EP-09</x:v>
      </x:c>
      <x:c r="C21" s="155" t="str">
        <x:v>Simuler RNE avec MongoDB</x:v>
      </x:c>
      <x:c r="D21" s="155" t="str">
        <x:v>Story</x:v>
      </x:c>
      <x:c r="E21" s="155" t="n">
        <x:v>8</x:v>
      </x:c>
      <x:c r="F21" s="155" t="str">
        <x:v>Sprint 4</x:v>
      </x:c>
      <x:c r="G21" s="155" t="str">
        <x:v>High</x:v>
      </x:c>
      <x:c r="H21" s="155" t="str">
        <x:v>Terminé</x:v>
      </x:c>
      <x:c r="I21" s="155" t="str">
        <x:v>Endpoint métier dépendant de MongoDB</x:v>
      </x:c>
      <x:c r="J21" s="156" t="str">
        <x:v>stb-sentinel,sprint-4</x:v>
      </x:c>
    </x:row>
    <x:row r="22">
      <x:c r="A22" s="154" t="str">
        <x:v>US-403</x:v>
      </x:c>
      <x:c r="B22" s="155" t="str">
        <x:v>EP-09</x:v>
      </x:c>
      <x:c r="C22" s="155" t="str">
        <x:v>Simuler SMS avec MySQL</x:v>
      </x:c>
      <x:c r="D22" s="155" t="str">
        <x:v>Story</x:v>
      </x:c>
      <x:c r="E22" s="155" t="n">
        <x:v>8</x:v>
      </x:c>
      <x:c r="F22" s="155" t="str">
        <x:v>Sprint 4</x:v>
      </x:c>
      <x:c r="G22" s="155" t="str">
        <x:v>High</x:v>
      </x:c>
      <x:c r="H22" s="155" t="str">
        <x:v>Terminé</x:v>
      </x:c>
      <x:c r="I22" s="155" t="str">
        <x:v>Livraison SMS et panne base</x:v>
      </x:c>
      <x:c r="J22" s="156" t="str">
        <x:v>stb-sentinel,sprint-4</x:v>
      </x:c>
    </x:row>
    <x:row r="23">
      <x:c r="A23" s="154" t="str">
        <x:v>US-404</x:v>
      </x:c>
      <x:c r="B23" s="155" t="str">
        <x:v>EP-09</x:v>
      </x:c>
      <x:c r="C23" s="155" t="str">
        <x:v>Simuler RH avec SQL Server</x:v>
      </x:c>
      <x:c r="D23" s="155" t="str">
        <x:v>Story</x:v>
      </x:c>
      <x:c r="E23" s="155" t="n">
        <x:v>8</x:v>
      </x:c>
      <x:c r="F23" s="155" t="str">
        <x:v>Sprint 4</x:v>
      </x:c>
      <x:c r="G23" s="155" t="str">
        <x:v>High</x:v>
      </x:c>
      <x:c r="H23" s="155" t="str">
        <x:v>Terminé</x:v>
      </x:c>
      <x:c r="I23" s="155" t="str">
        <x:v>Situation professionnelle et panne base</x:v>
      </x:c>
      <x:c r="J23" s="156" t="str">
        <x:v>stb-sentinel,sprint-4</x:v>
      </x:c>
    </x:row>
    <x:row r="24">
      <x:c r="A24" s="154" t="str">
        <x:v>US-405</x:v>
      </x:c>
      <x:c r="B24" s="155" t="str">
        <x:v>EP-09</x:v>
      </x:c>
      <x:c r="C24" s="155" t="str">
        <x:v>Automatiser les scénarios de panne E2E</x:v>
      </x:c>
      <x:c r="D24" s="155" t="str">
        <x:v>Story</x:v>
      </x:c>
      <x:c r="E24" s="155" t="n">
        <x:v>8</x:v>
      </x:c>
      <x:c r="F24" s="155" t="str">
        <x:v>Sprint 4</x:v>
      </x:c>
      <x:c r="G24" s="155" t="str">
        <x:v>High</x:v>
      </x:c>
      <x:c r="H24" s="155" t="str">
        <x:v>À faire</x:v>
      </x:c>
      <x:c r="I24" s="155" t="str">
        <x:v>500, latence, timeout, DB down et TLS</x:v>
      </x:c>
      <x:c r="J24" s="156" t="str">
        <x:v>stb-sentinel,sprint-4</x:v>
      </x:c>
    </x:row>
    <x:row r="25">
      <x:c r="A25" s="154" t="str">
        <x:v>US-501</x:v>
      </x:c>
      <x:c r="B25" s="155" t="str">
        <x:v>EP-04</x:v>
      </x:c>
      <x:c r="C25" s="155" t="str">
        <x:v>Créer et gérer les règles d’alerte</x:v>
      </x:c>
      <x:c r="D25" s="155" t="str">
        <x:v>Story</x:v>
      </x:c>
      <x:c r="E25" s="155" t="n">
        <x:v>8</x:v>
      </x:c>
      <x:c r="F25" s="155" t="str">
        <x:v>Sprint 5</x:v>
      </x:c>
      <x:c r="G25" s="155" t="str">
        <x:v>Highest</x:v>
      </x:c>
      <x:c r="H25" s="155" t="str">
        <x:v>Terminé</x:v>
      </x:c>
      <x:c r="I25" s="155" t="str">
        <x:v>Règles standards et personnalisables</x:v>
      </x:c>
      <x:c r="J25" s="156" t="str">
        <x:v>stb-sentinel,sprint-5</x:v>
      </x:c>
    </x:row>
    <x:row r="26">
      <x:c r="A26" s="154" t="str">
        <x:v>US-502</x:v>
      </x:c>
      <x:c r="B26" s="155" t="str">
        <x:v>EP-04</x:v>
      </x:c>
      <x:c r="C26" s="155" t="str">
        <x:v>Dédupliquer et corréler les alertes</x:v>
      </x:c>
      <x:c r="D26" s="155" t="str">
        <x:v>Story</x:v>
      </x:c>
      <x:c r="E26" s="155" t="n">
        <x:v>8</x:v>
      </x:c>
      <x:c r="F26" s="155" t="str">
        <x:v>Sprint 5</x:v>
      </x:c>
      <x:c r="G26" s="155" t="str">
        <x:v>Highest</x:v>
      </x:c>
      <x:c r="H26" s="155" t="str">
        <x:v>Terminé</x:v>
      </x:c>
      <x:c r="I26" s="155" t="str">
        <x:v>Occurrences sans duplication</x:v>
      </x:c>
      <x:c r="J26" s="156" t="str">
        <x:v>stb-sentinel,sprint-5</x:v>
      </x:c>
    </x:row>
    <x:row r="27">
      <x:c r="A27" s="154" t="str">
        <x:v>US-503</x:v>
      </x:c>
      <x:c r="B27" s="155" t="str">
        <x:v>EP-05</x:v>
      </x:c>
      <x:c r="C27" s="155" t="str">
        <x:v>Créer et affecter un incident</x:v>
      </x:c>
      <x:c r="D27" s="155" t="str">
        <x:v>Story</x:v>
      </x:c>
      <x:c r="E27" s="155" t="n">
        <x:v>8</x:v>
      </x:c>
      <x:c r="F27" s="155" t="str">
        <x:v>Sprint 5</x:v>
      </x:c>
      <x:c r="G27" s="155" t="str">
        <x:v>Highest</x:v>
      </x:c>
      <x:c r="H27" s="155" t="str">
        <x:v>Terminé</x:v>
      </x:c>
      <x:c r="I27" s="155" t="str">
        <x:v>Affectation au technicien actif</x:v>
      </x:c>
      <x:c r="J27" s="156" t="str">
        <x:v>stb-sentinel,sprint-5</x:v>
      </x:c>
    </x:row>
    <x:row r="28">
      <x:c r="A28" s="154" t="str">
        <x:v>US-504</x:v>
      </x:c>
      <x:c r="B28" s="155" t="str">
        <x:v>EP-05</x:v>
      </x:c>
      <x:c r="C28" s="155" t="str">
        <x:v>Documenter et résoudre un incident</x:v>
      </x:c>
      <x:c r="D28" s="155" t="str">
        <x:v>Story</x:v>
      </x:c>
      <x:c r="E28" s="155" t="n">
        <x:v>8</x:v>
      </x:c>
      <x:c r="F28" s="155" t="str">
        <x:v>Sprint 5</x:v>
      </x:c>
      <x:c r="G28" s="155" t="str">
        <x:v>Highest</x:v>
      </x:c>
      <x:c r="H28" s="155" t="str">
        <x:v>Terminé</x:v>
      </x:c>
      <x:c r="I28" s="155" t="str">
        <x:v>Cause, actions et preuve</x:v>
      </x:c>
      <x:c r="J28" s="156" t="str">
        <x:v>stb-sentinel,sprint-5</x:v>
      </x:c>
    </x:row>
    <x:row r="29">
      <x:c r="A29" s="154" t="str">
        <x:v>US-505</x:v>
      </x:c>
      <x:c r="B29" s="155" t="str">
        <x:v>EP-05</x:v>
      </x:c>
      <x:c r="C29" s="155" t="str">
        <x:v>Calculer SLA, MTTD, MTTA et MTTR</x:v>
      </x:c>
      <x:c r="D29" s="155" t="str">
        <x:v>Story</x:v>
      </x:c>
      <x:c r="E29" s="155" t="n">
        <x:v>8</x:v>
      </x:c>
      <x:c r="F29" s="155" t="str">
        <x:v>Sprint 5</x:v>
      </x:c>
      <x:c r="G29" s="155" t="str">
        <x:v>High</x:v>
      </x:c>
      <x:c r="H29" s="155" t="str">
        <x:v>Terminé</x:v>
      </x:c>
      <x:c r="I29" s="155" t="str">
        <x:v>Indicateurs frontend et backend</x:v>
      </x:c>
      <x:c r="J29" s="156" t="str">
        <x:v>stb-sentinel,sprint-5</x:v>
      </x:c>
    </x:row>
    <x:row r="30">
      <x:c r="A30" s="154" t="str">
        <x:v>US-601</x:v>
      </x:c>
      <x:c r="B30" s="155" t="str">
        <x:v>EP-06</x:v>
      </x:c>
      <x:c r="C30" s="155" t="str">
        <x:v>Créer les préférences de notification</x:v>
      </x:c>
      <x:c r="D30" s="155" t="str">
        <x:v>Story</x:v>
      </x:c>
      <x:c r="E30" s="155" t="n">
        <x:v>5</x:v>
      </x:c>
      <x:c r="F30" s="155" t="str">
        <x:v>Sprint 6</x:v>
      </x:c>
      <x:c r="G30" s="155" t="str">
        <x:v>High</x:v>
      </x:c>
      <x:c r="H30" s="155" t="str">
        <x:v>Terminé</x:v>
      </x:c>
      <x:c r="I30" s="155" t="str">
        <x:v>Interne, email, SMS et délai</x:v>
      </x:c>
      <x:c r="J30" s="156" t="str">
        <x:v>stb-sentinel,sprint-6</x:v>
      </x:c>
    </x:row>
    <x:row r="31">
      <x:c r="A31" s="154" t="str">
        <x:v>US-602</x:v>
      </x:c>
      <x:c r="B31" s="155" t="str">
        <x:v>EP-06</x:v>
      </x:c>
      <x:c r="C31" s="155" t="str">
        <x:v>Envoyer les emails critiques avec Brevo</x:v>
      </x:c>
      <x:c r="D31" s="155" t="str">
        <x:v>Story</x:v>
      </x:c>
      <x:c r="E31" s="155" t="n">
        <x:v>5</x:v>
      </x:c>
      <x:c r="F31" s="155" t="str">
        <x:v>Sprint 6</x:v>
      </x:c>
      <x:c r="G31" s="155" t="str">
        <x:v>Highest</x:v>
      </x:c>
      <x:c r="H31" s="155" t="str">
        <x:v>En cours</x:v>
      </x:c>
      <x:c r="I31" s="155" t="str">
        <x:v>Code présent, configuration réelle à tester</x:v>
      </x:c>
      <x:c r="J31" s="156" t="str">
        <x:v>stb-sentinel,sprint-6</x:v>
      </x:c>
    </x:row>
    <x:row r="32">
      <x:c r="A32" s="154" t="str">
        <x:v>US-603</x:v>
      </x:c>
      <x:c r="B32" s="155" t="str">
        <x:v>EP-06</x:v>
      </x:c>
      <x:c r="C32" s="155" t="str">
        <x:v>Envoyer les SMS critiques avec Twilio</x:v>
      </x:c>
      <x:c r="D32" s="155" t="str">
        <x:v>Story</x:v>
      </x:c>
      <x:c r="E32" s="155" t="n">
        <x:v>5</x:v>
      </x:c>
      <x:c r="F32" s="155" t="str">
        <x:v>Sprint 6</x:v>
      </x:c>
      <x:c r="G32" s="155" t="str">
        <x:v>Highest</x:v>
      </x:c>
      <x:c r="H32" s="155" t="str">
        <x:v>En cours</x:v>
      </x:c>
      <x:c r="I32" s="155" t="str">
        <x:v>Code présent, configuration réelle à tester</x:v>
      </x:c>
      <x:c r="J32" s="156" t="str">
        <x:v>stb-sentinel,sprint-6</x:v>
      </x:c>
    </x:row>
    <x:row r="33">
      <x:c r="A33" s="154" t="str">
        <x:v>US-604</x:v>
      </x:c>
      <x:c r="B33" s="155" t="str">
        <x:v>EP-06</x:v>
      </x:c>
      <x:c r="C33" s="155" t="str">
        <x:v>Escalader technicien, superviseur, manager</x:v>
      </x:c>
      <x:c r="D33" s="155" t="str">
        <x:v>Story</x:v>
      </x:c>
      <x:c r="E33" s="155" t="n">
        <x:v>8</x:v>
      </x:c>
      <x:c r="F33" s="155" t="str">
        <x:v>Sprint 6</x:v>
      </x:c>
      <x:c r="G33" s="155" t="str">
        <x:v>Highest</x:v>
      </x:c>
      <x:c r="H33" s="155" t="str">
        <x:v>Terminé</x:v>
      </x:c>
      <x:c r="I33" s="155" t="str">
        <x:v>Escalade persistée et différée</x:v>
      </x:c>
      <x:c r="J33" s="156" t="str">
        <x:v>stb-sentinel,sprint-6</x:v>
      </x:c>
    </x:row>
    <x:row r="34">
      <x:c r="A34" s="154" t="str">
        <x:v>US-605</x:v>
      </x:c>
      <x:c r="B34" s="155" t="str">
        <x:v>EP-06</x:v>
      </x:c>
      <x:c r="C34" s="155" t="str">
        <x:v>Journaliser toutes les tentatives d’envoi</x:v>
      </x:c>
      <x:c r="D34" s="155" t="str">
        <x:v>Story</x:v>
      </x:c>
      <x:c r="E34" s="155" t="n">
        <x:v>5</x:v>
      </x:c>
      <x:c r="F34" s="155" t="str">
        <x:v>Sprint 6</x:v>
      </x:c>
      <x:c r="G34" s="155" t="str">
        <x:v>High</x:v>
      </x:c>
      <x:c r="H34" s="155" t="str">
        <x:v>À faire</x:v>
      </x:c>
      <x:c r="I34" s="155" t="str">
        <x:v>Statut, fournisseur, erreur et identifiant externe</x:v>
      </x:c>
      <x:c r="J34" s="156" t="str">
        <x:v>stb-sentinel,sprint-6</x:v>
      </x:c>
    </x:row>
    <x:row r="35">
      <x:c r="A35" s="154" t="str">
        <x:v>US-701</x:v>
      </x:c>
      <x:c r="B35" s="155" t="str">
        <x:v>EP-08</x:v>
      </x:c>
      <x:c r="C35" s="155" t="str">
        <x:v>Afficher dashboard santé et SLA</x:v>
      </x:c>
      <x:c r="D35" s="155" t="str">
        <x:v>Story</x:v>
      </x:c>
      <x:c r="E35" s="155" t="n">
        <x:v>8</x:v>
      </x:c>
      <x:c r="F35" s="155" t="str">
        <x:v>Sprint 7</x:v>
      </x:c>
      <x:c r="G35" s="155" t="str">
        <x:v>Highest</x:v>
      </x:c>
      <x:c r="H35" s="155" t="str">
        <x:v>Terminé</x:v>
      </x:c>
      <x:c r="I35" s="155" t="str">
        <x:v>KPI globaux et personnels</x:v>
      </x:c>
      <x:c r="J35" s="156" t="str">
        <x:v>stb-sentinel,sprint-7</x:v>
      </x:c>
    </x:row>
    <x:row r="36">
      <x:c r="A36" s="154" t="str">
        <x:v>US-702</x:v>
      </x:c>
      <x:c r="B36" s="155" t="str">
        <x:v>EP-08</x:v>
      </x:c>
      <x:c r="C36" s="155" t="str">
        <x:v>Ajouter filtres et vues sauvegardées</x:v>
      </x:c>
      <x:c r="D36" s="155" t="str">
        <x:v>Story</x:v>
      </x:c>
      <x:c r="E36" s="155" t="n">
        <x:v>5</x:v>
      </x:c>
      <x:c r="F36" s="155" t="str">
        <x:v>Sprint 7</x:v>
      </x:c>
      <x:c r="G36" s="155" t="str">
        <x:v>High</x:v>
      </x:c>
      <x:c r="H36" s="155" t="str">
        <x:v>Terminé</x:v>
      </x:c>
      <x:c r="I36" s="155" t="str">
        <x:v>Filtres incidents persistants</x:v>
      </x:c>
      <x:c r="J36" s="156" t="str">
        <x:v>stb-sentinel,sprint-7</x:v>
      </x:c>
    </x:row>
    <x:row r="37">
      <x:c r="A37" s="154" t="str">
        <x:v>US-703</x:v>
      </x:c>
      <x:c r="B37" s="155" t="str">
        <x:v>EP-08</x:v>
      </x:c>
      <x:c r="C37" s="155" t="str">
        <x:v>Exporter CSV, PDF et Excel</x:v>
      </x:c>
      <x:c r="D37" s="155" t="str">
        <x:v>Story</x:v>
      </x:c>
      <x:c r="E37" s="155" t="n">
        <x:v>8</x:v>
      </x:c>
      <x:c r="F37" s="155" t="str">
        <x:v>Sprint 7</x:v>
      </x:c>
      <x:c r="G37" s="155" t="str">
        <x:v>High</x:v>
      </x:c>
      <x:c r="H37" s="155" t="str">
        <x:v>Terminé</x:v>
      </x:c>
      <x:c r="I37" s="155" t="str">
        <x:v>Exports mensuels et annuels</x:v>
      </x:c>
      <x:c r="J37" s="156" t="str">
        <x:v>stb-sentinel,sprint-7</x:v>
      </x:c>
    </x:row>
    <x:row r="38">
      <x:c r="A38" s="154" t="str">
        <x:v>US-704</x:v>
      </x:c>
      <x:c r="B38" s="155" t="str">
        <x:v>EP-08</x:v>
      </x:c>
      <x:c r="C38" s="155" t="str">
        <x:v>Planifier et historiser les rapports</x:v>
      </x:c>
      <x:c r="D38" s="155" t="str">
        <x:v>Story</x:v>
      </x:c>
      <x:c r="E38" s="155" t="n">
        <x:v>8</x:v>
      </x:c>
      <x:c r="F38" s="155" t="str">
        <x:v>Sprint 7</x:v>
      </x:c>
      <x:c r="G38" s="155" t="str">
        <x:v>Medium</x:v>
      </x:c>
      <x:c r="H38" s="155" t="str">
        <x:v>À faire</x:v>
      </x:c>
      <x:c r="I38" s="155" t="str">
        <x:v>Worker et historique des publications</x:v>
      </x:c>
      <x:c r="J38" s="156" t="str">
        <x:v>stb-sentinel,sprint-7</x:v>
      </x:c>
    </x:row>
    <x:row r="39">
      <x:c r="A39" s="154" t="str">
        <x:v>US-705</x:v>
      </x:c>
      <x:c r="B39" s="155" t="str">
        <x:v>EP-07</x:v>
      </x:c>
      <x:c r="C39" s="155" t="str">
        <x:v>Gérer les maintenances dans un calendrier</x:v>
      </x:c>
      <x:c r="D39" s="155" t="str">
        <x:v>Story</x:v>
      </x:c>
      <x:c r="E39" s="155" t="n">
        <x:v>8</x:v>
      </x:c>
      <x:c r="F39" s="155" t="str">
        <x:v>Sprint 7</x:v>
      </x:c>
      <x:c r="G39" s="155" t="str">
        <x:v>High</x:v>
      </x:c>
      <x:c r="H39" s="155" t="str">
        <x:v>Terminé</x:v>
      </x:c>
      <x:c r="I39" s="155" t="str">
        <x:v>Jour, semaine, mois et CRUD</x:v>
      </x:c>
      <x:c r="J39" s="156" t="str">
        <x:v>stb-sentinel,sprint-7</x:v>
      </x:c>
    </x:row>
    <x:row r="40">
      <x:c r="A40" s="154" t="str">
        <x:v>US-801</x:v>
      </x:c>
      <x:c r="B40" s="155" t="str">
        <x:v>EP-11</x:v>
      </x:c>
      <x:c r="C40" s="155" t="str">
        <x:v>Détecter une dérive de latence</x:v>
      </x:c>
      <x:c r="D40" s="155" t="str">
        <x:v>Story</x:v>
      </x:c>
      <x:c r="E40" s="155" t="n">
        <x:v>8</x:v>
      </x:c>
      <x:c r="F40" s="155" t="str">
        <x:v>Sprint 8</x:v>
      </x:c>
      <x:c r="G40" s="155" t="str">
        <x:v>Medium</x:v>
      </x:c>
      <x:c r="H40" s="155" t="str">
        <x:v>À faire</x:v>
      </x:c>
      <x:c r="I40" s="155" t="str">
        <x:v>Baseline glissante explicable</x:v>
      </x:c>
      <x:c r="J40" s="156" t="str">
        <x:v>stb-sentinel,sprint-8</x:v>
      </x:c>
    </x:row>
    <x:row r="41">
      <x:c r="A41" s="154" t="str">
        <x:v>US-802</x:v>
      </x:c>
      <x:c r="B41" s="155" t="str">
        <x:v>EP-11</x:v>
      </x:c>
      <x:c r="C41" s="155" t="str">
        <x:v>Calculer un score de risque explicable</x:v>
      </x:c>
      <x:c r="D41" s="155" t="str">
        <x:v>Story</x:v>
      </x:c>
      <x:c r="E41" s="155" t="n">
        <x:v>8</x:v>
      </x:c>
      <x:c r="F41" s="155" t="str">
        <x:v>Sprint 8</x:v>
      </x:c>
      <x:c r="G41" s="155" t="str">
        <x:v>Medium</x:v>
      </x:c>
      <x:c r="H41" s="155" t="str">
        <x:v>À faire</x:v>
      </x:c>
      <x:c r="I41" s="155" t="str">
        <x:v>Facteurs contributifs visibles</x:v>
      </x:c>
      <x:c r="J41" s="156" t="str">
        <x:v>stb-sentinel,sprint-8</x:v>
      </x:c>
    </x:row>
    <x:row r="42">
      <x:c r="A42" s="154" t="str">
        <x:v>US-803</x:v>
      </x:c>
      <x:c r="B42" s="155" t="str">
        <x:v>EP-11</x:v>
      </x:c>
      <x:c r="C42" s="155" t="str">
        <x:v>Recommander des incidents similaires</x:v>
      </x:c>
      <x:c r="D42" s="155" t="str">
        <x:v>Story</x:v>
      </x:c>
      <x:c r="E42" s="155" t="n">
        <x:v>8</x:v>
      </x:c>
      <x:c r="F42" s="155" t="str">
        <x:v>Sprint 8</x:v>
      </x:c>
      <x:c r="G42" s="155" t="str">
        <x:v>Low</x:v>
      </x:c>
      <x:c r="H42" s="155" t="str">
        <x:v>À faire</x:v>
      </x:c>
      <x:c r="I42" s="155" t="str">
        <x:v>Validation humaine obligatoire</x:v>
      </x:c>
      <x:c r="J42" s="156" t="str">
        <x:v>stb-sentinel,sprint-8</x:v>
      </x:c>
    </x:row>
    <x:row r="43">
      <x:c r="A43" s="154" t="str">
        <x:v>US-901</x:v>
      </x:c>
      <x:c r="B43" s="155" t="str">
        <x:v>EP-10</x:v>
      </x:c>
      <x:c r="C43" s="155" t="str">
        <x:v>Dockeriser API et frontend</x:v>
      </x:c>
      <x:c r="D43" s="155" t="str">
        <x:v>Story</x:v>
      </x:c>
      <x:c r="E43" s="155" t="n">
        <x:v>8</x:v>
      </x:c>
      <x:c r="F43" s="155" t="str">
        <x:v>Sprint 9</x:v>
      </x:c>
      <x:c r="G43" s="155" t="str">
        <x:v>Highest</x:v>
      </x:c>
      <x:c r="H43" s="155" t="str">
        <x:v>À faire</x:v>
      </x:c>
      <x:c r="I43" s="155" t="str">
        <x:v>Images versionnées</x:v>
      </x:c>
      <x:c r="J43" s="156" t="str">
        <x:v>stb-sentinel,sprint-9</x:v>
      </x:c>
    </x:row>
    <x:row r="44">
      <x:c r="A44" s="154" t="str">
        <x:v>US-902</x:v>
      </x:c>
      <x:c r="B44" s="155" t="str">
        <x:v>EP-10</x:v>
      </x:c>
      <x:c r="C44" s="155" t="str">
        <x:v>Créer pipeline Jenkins et SonarQube</x:v>
      </x:c>
      <x:c r="D44" s="155" t="str">
        <x:v>Story</x:v>
      </x:c>
      <x:c r="E44" s="155" t="n">
        <x:v>13</x:v>
      </x:c>
      <x:c r="F44" s="155" t="str">
        <x:v>Sprint 9</x:v>
      </x:c>
      <x:c r="G44" s="155" t="str">
        <x:v>Highest</x:v>
      </x:c>
      <x:c r="H44" s="155" t="str">
        <x:v>À faire</x:v>
      </x:c>
      <x:c r="I44" s="155" t="str">
        <x:v>Build, tests, analyse et image</x:v>
      </x:c>
      <x:c r="J44" s="156" t="str">
        <x:v>stb-sentinel,sprint-9</x:v>
      </x:c>
    </x:row>
    <x:row r="45">
      <x:c r="A45" s="154" t="str">
        <x:v>US-903</x:v>
      </x:c>
      <x:c r="B45" s="155" t="str">
        <x:v>EP-10</x:v>
      </x:c>
      <x:c r="C45" s="155" t="str">
        <x:v>Déployer sur Kubernetes</x:v>
      </x:c>
      <x:c r="D45" s="155" t="str">
        <x:v>Story</x:v>
      </x:c>
      <x:c r="E45" s="155" t="n">
        <x:v>13</x:v>
      </x:c>
      <x:c r="F45" s="155" t="str">
        <x:v>Sprint 9</x:v>
      </x:c>
      <x:c r="G45" s="155" t="str">
        <x:v>Highest</x:v>
      </x:c>
      <x:c r="H45" s="155" t="str">
        <x:v>À faire</x:v>
      </x:c>
      <x:c r="I45" s="155" t="str">
        <x:v>Deployment, Service, Ingress, Secret et PVC</x:v>
      </x:c>
      <x:c r="J45" s="156" t="str">
        <x:v>stb-sentinel,sprint-9</x:v>
      </x:c>
    </x:row>
    <x:row r="46">
      <x:c r="A46" s="154" t="str">
        <x:v>US-904</x:v>
      </x:c>
      <x:c r="B46" s="155" t="str">
        <x:v>EP-10</x:v>
      </x:c>
      <x:c r="C46" s="155" t="str">
        <x:v>Instrumenter Prometheus et Grafana</x:v>
      </x:c>
      <x:c r="D46" s="155" t="str">
        <x:v>Story</x:v>
      </x:c>
      <x:c r="E46" s="155" t="n">
        <x:v>8</x:v>
      </x:c>
      <x:c r="F46" s="155" t="str">
        <x:v>Sprint 9</x:v>
      </x:c>
      <x:c r="G46" s="155" t="str">
        <x:v>High</x:v>
      </x:c>
      <x:c r="H46" s="155" t="str">
        <x:v>À faire</x:v>
      </x:c>
      <x:c r="I46" s="155" t="str">
        <x:v>Métriques API, workers et simulateurs</x:v>
      </x:c>
      <x:c r="J46" s="156" t="str">
        <x:v>stb-sentinel,sprint-9</x:v>
      </x:c>
    </x:row>
    <x:row r="47">
      <x:c r="A47" s="154" t="str">
        <x:v>US-1001</x:v>
      </x:c>
      <x:c r="B47" s="155" t="str">
        <x:v>EP-10</x:v>
      </x:c>
      <x:c r="C47" s="155" t="str">
        <x:v>Automatiser le cycle E2E complet</x:v>
      </x:c>
      <x:c r="D47" s="155" t="str">
        <x:v>Story</x:v>
      </x:c>
      <x:c r="E47" s="155" t="n">
        <x:v>13</x:v>
      </x:c>
      <x:c r="F47" s="155" t="str">
        <x:v>Sprint 10</x:v>
      </x:c>
      <x:c r="G47" s="155" t="str">
        <x:v>Highest</x:v>
      </x:c>
      <x:c r="H47" s="155" t="str">
        <x:v>À faire</x:v>
      </x:c>
      <x:c r="I47" s="155" t="str">
        <x:v>Détection à clôture</x:v>
      </x:c>
      <x:c r="J47" s="156" t="str">
        <x:v>stb-sentinel,sprint-10</x:v>
      </x:c>
    </x:row>
    <x:row r="48">
      <x:c r="A48" s="154" t="str">
        <x:v>US-1002</x:v>
      </x:c>
      <x:c r="B48" s="155" t="str">
        <x:v>EP-10</x:v>
      </x:c>
      <x:c r="C48" s="155" t="str">
        <x:v>Valider tests d’intégration PostgreSQL</x:v>
      </x:c>
      <x:c r="D48" s="155" t="str">
        <x:v>Story</x:v>
      </x:c>
      <x:c r="E48" s="155" t="n">
        <x:v>5</x:v>
      </x:c>
      <x:c r="F48" s="155" t="str">
        <x:v>Sprint 10</x:v>
      </x:c>
      <x:c r="G48" s="155" t="str">
        <x:v>Highest</x:v>
      </x:c>
      <x:c r="H48" s="155" t="str">
        <x:v>En cours</x:v>
      </x:c>
      <x:c r="I48" s="155" t="str">
        <x:v>Tests présents, base locale requise</x:v>
      </x:c>
      <x:c r="J48" s="156" t="str">
        <x:v>stb-sentinel,sprint-10</x:v>
      </x:c>
    </x:row>
    <x:row r="49">
      <x:c r="A49" s="154" t="str">
        <x:v>US-1003</x:v>
      </x:c>
      <x:c r="B49" s="155" t="str">
        <x:v>EP-10</x:v>
      </x:c>
      <x:c r="C49" s="155" t="str">
        <x:v>Tester charge, sécurité et régression</x:v>
      </x:c>
      <x:c r="D49" s="155" t="str">
        <x:v>Story</x:v>
      </x:c>
      <x:c r="E49" s="155" t="n">
        <x:v>8</x:v>
      </x:c>
      <x:c r="F49" s="155" t="str">
        <x:v>Sprint 10</x:v>
      </x:c>
      <x:c r="G49" s="155" t="str">
        <x:v>High</x:v>
      </x:c>
      <x:c r="H49" s="155" t="str">
        <x:v>À faire</x:v>
      </x:c>
      <x:c r="I49" s="155" t="str">
        <x:v>Recette sans anomalie bloquante</x:v>
      </x:c>
      <x:c r="J49" s="156" t="str">
        <x:v>stb-sentinel,sprint-10</x:v>
      </x:c>
    </x:row>
    <x:row r="50">
      <x:c r="A50" s="157" t="str">
        <x:v>US-1004</x:v>
      </x:c>
      <x:c r="B50" s="158" t="str">
        <x:v>EP-10</x:v>
      </x:c>
      <x:c r="C50" s="158" t="str">
        <x:v>Finaliser rapport et démonstration</x:v>
      </x:c>
      <x:c r="D50" s="158" t="str">
        <x:v>Story</x:v>
      </x:c>
      <x:c r="E50" s="158" t="n">
        <x:v>8</x:v>
      </x:c>
      <x:c r="F50" s="158" t="str">
        <x:v>Sprint 10</x:v>
      </x:c>
      <x:c r="G50" s="158" t="str">
        <x:v>High</x:v>
      </x:c>
      <x:c r="H50" s="158" t="str">
        <x:v>En cours</x:v>
      </x:c>
      <x:c r="I50" s="158" t="str">
        <x:v>Rapport rédigé, scénario à répéter</x:v>
      </x:c>
      <x:c r="J50" s="159" t="str">
        <x:v>stb-sentinel,sprint-10</x:v>
      </x:c>
    </x:row>
  </x:sheetData>
  <x:mergeCells>
    <x:mergeCell ref="A1:J1"/>
    <x:mergeCell ref="A2:H2"/>
  </x:mergeCells>
  <x:conditionalFormatting sqref="H5:H50">
    <x:cfRule type="containsText" dxfId="3" priority="1" operator="containsText" text="Terminé"/>
    <x:cfRule type="containsText" dxfId="4" priority="2" operator="containsText" text="En cours"/>
    <x:cfRule type="containsText" dxfId="5" priority="3" operator="containsText" text="À faire"/>
  </x:conditionalFormatting>
  <x:dataValidations count="2">
    <x:dataValidation type="list" sqref="G5:G50">
      <x:formula1>"Highest,High,Medium,Low,Lowest"</x:formula1>
    </x:dataValidation>
    <x:dataValidation type="list" sqref="H5:H50">
      <x:formula1>"À faire,En cours,Terminé,Bloqué"</x:formula1>
    </x:dataValidation>
  </x:dataValidations>
  <x:pageMargins left="0.7" right="0.7" top="0.75" bottom="0.75" header="0.3" footer="0.3"/>
  <x:legacyDrawing xmlns:r="http://schemas.openxmlformats.org/officeDocument/2006/relationships" r:id="R9418a7363a0b4f64"/>
  <x:tableParts count="1">
    <x:tablePart xmlns:r="http://schemas.openxmlformats.org/officeDocument/2006/relationships" r:id="R7d9c882d223c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1" max="1" width="12" hidden="0" customWidth="1"/>
    <x:col min="2" max="2" width="28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8" customHeight="1">
      <x:c r="A1" s="134" t="str">
        <x:v>Diagramme de Gantt — STB Sentinel</x:v>
      </x:c>
      <x:c r="B1" s="134" t="str">
        <x:v>Diagramme de Gantt — STB Sentinel</x:v>
      </x:c>
      <x:c r="C1" s="134" t="str">
        <x:v>Diagramme de Gantt — STB Sentinel</x:v>
      </x:c>
      <x:c r="D1" s="134" t="str">
        <x:v>Diagramme de Gantt — STB Sentinel</x:v>
      </x:c>
      <x:c r="E1" s="134" t="str">
        <x:v>Diagramme de Gantt — STB Sentinel</x:v>
      </x:c>
      <x:c r="F1" s="134" t="str">
        <x:v>Diagramme de Gantt — STB Sentinel</x:v>
      </x:c>
      <x:c r="G1" s="134" t="str">
        <x:v>Diagramme de Gantt — STB Sentinel</x:v>
      </x:c>
      <x:c r="H1" s="134" t="str">
        <x:v>Diagramme de Gantt — STB Sentinel</x:v>
      </x:c>
      <x:c r="I1" s="134" t="str">
        <x:v>Diagramme de Gantt — STB Sentinel</x:v>
      </x:c>
      <x:c r="J1" s="134" t="str">
        <x:v>Diagramme de Gantt — STB Sentinel</x:v>
      </x:c>
      <x:c r="K1" s="134" t="str">
        <x:v>Diagramme de Gantt — STB Sentinel</x:v>
      </x:c>
      <x:c r="L1" s="134" t="str">
        <x:v>Diagramme de Gantt — STB Sentinel</x:v>
      </x:c>
      <x:c r="M1" s="134" t="str">
        <x:v>Diagramme de Gantt — STB Sentinel</x:v>
      </x:c>
      <x:c r="N1" s="134" t="str">
        <x:v>Diagramme de Gantt — STB Sentinel</x:v>
      </x:c>
      <x:c r="O1" s="134" t="str">
        <x:v>Diagramme de Gantt — STB Sentinel</x:v>
      </x:c>
      <x:c r="P1" s="134" t="str">
        <x:v>Diagramme de Gantt — STB Sentinel</x:v>
      </x:c>
      <x:c r="Q1" s="134" t="str">
        <x:v>Diagramme de Gantt — STB Sentinel</x:v>
      </x:c>
      <x:c r="R1" s="134" t="str">
        <x:v>Diagramme de Gantt — STB Sentinel</x:v>
      </x:c>
      <x:c r="S1" s="134" t="str">
        <x:v>Diagramme de Gantt — STB Sentinel</x:v>
      </x:c>
      <x:c r="T1" s="134" t="str">
        <x:v>Diagramme de Gantt — STB Sentinel</x:v>
      </x:c>
      <x:c r="U1" s="134" t="str">
        <x:v>Diagramme de Gantt — STB Sentinel</x:v>
      </x:c>
      <x:c r="V1" s="134" t="str">
        <x:v>Diagramme de Gantt — STB Sentinel</x:v>
      </x:c>
      <x:c r="W1" s="134" t="str">
        <x:v>Diagramme de Gantt — STB Sentinel</x:v>
      </x:c>
      <x:c r="X1" s="134" t="str">
        <x:v>Diagramme de Gantt — STB Sentinel</x:v>
      </x:c>
      <x:c r="Y1" s="134" t="str">
        <x:v>Diagramme de Gantt — STB Sentinel</x:v>
      </x:c>
      <x:c r="Z1" s="134" t="str">
        <x:v>Diagramme de Gantt — STB Sentinel</x:v>
      </x:c>
      <x:c r="AA1" s="134" t="str">
        <x:v>Diagramme de Gantt — STB Sentinel</x:v>
      </x:c>
      <x:c r="AB1" s="134" t="str">
        <x:v>Diagramme de Gantt — STB Sentinel</x:v>
      </x:c>
      <x:c r="AC1" s="135"/>
      <x:c r="AD1" s="135"/>
      <x:c r="AE1" s="135"/>
      <x:c r="AF1" s="135"/>
      <x:c r="AG1" s="135"/>
      <x:c r="AH1" s="135"/>
      <x:c r="AI1" s="135"/>
      <x:c r="AJ1" s="135"/>
      <x:c r="AK1" s="135"/>
      <x:c r="AL1" s="135"/>
      <x:c r="AM1" s="135"/>
      <x:c r="AN1" s="135"/>
      <x:c r="AO1" s="135"/>
      <x:c r="AP1" s="135"/>
      <x:c r="AQ1" s="135"/>
      <x:c r="AR1" s="135"/>
      <x:c r="AS1" s="135"/>
      <x:c r="AT1" s="135"/>
      <x:c r="AU1" s="135"/>
      <x:c r="AV1" s="135"/>
      <x:c r="AW1" s="135"/>
      <x:c r="AX1" s="135"/>
      <x:c r="AY1" s="135"/>
      <x:c r="AZ1" s="135"/>
    </x:row>
    <x:row r="2" ht="30" customHeight="1">
      <x:c r="A2" s="136" t="str">
        <x:v>Modifier les dates de début/fin : les barres hebdomadaires sont calculées automatiquement</x:v>
      </x:c>
      <x:c r="B2" s="136" t="str">
        <x:v>Modifier les dates de début/fin : les barres hebdomadaires sont calculées automatiquement</x:v>
      </x:c>
      <x:c r="C2" s="136" t="str">
        <x:v>Modifier les dates de début/fin : les barres hebdomadaires sont calculées automatiquement</x:v>
      </x:c>
      <x:c r="D2" s="136" t="str">
        <x:v>Modifier les dates de début/fin : les barres hebdomadaires sont calculées automatiquement</x:v>
      </x:c>
      <x:c r="E2" s="136" t="str">
        <x:v>Modifier les dates de début/fin : les barres hebdomadaires sont calculées automatiquement</x:v>
      </x:c>
      <x:c r="F2" s="136" t="str">
        <x:v>Modifier les dates de début/fin : les barres hebdomadaires sont calculées automatiquement</x:v>
      </x:c>
      <x:c r="G2" s="136" t="str">
        <x:v>Modifier les dates de début/fin : les barres hebdomadaires sont calculées automatiquement</x:v>
      </x:c>
      <x:c r="H2" s="136" t="str">
        <x:v>Modifier les dates de début/fin : les barres hebdomadaires sont calculées automatiquement</x:v>
      </x:c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  <x:c r="AR2" s="137"/>
      <x:c r="AS2" s="137"/>
      <x:c r="AT2" s="137"/>
      <x:c r="AU2" s="137"/>
      <x:c r="AV2" s="137"/>
      <x:c r="AW2" s="137"/>
      <x:c r="AX2" s="137"/>
      <x:c r="AY2" s="137"/>
      <x:c r="AZ2" s="137"/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  <x:c r="AA3" s="115"/>
      <x:c r="AB3" s="115"/>
      <x:c r="AC3" s="115"/>
      <x:c r="AD3" s="115"/>
      <x:c r="AE3" s="115"/>
      <x:c r="AF3" s="115"/>
      <x:c r="AG3" s="115"/>
      <x:c r="AH3" s="115"/>
      <x:c r="AI3" s="115"/>
      <x:c r="AJ3" s="115"/>
    </x:row>
    <x:row r="4">
      <x:c r="A4" s="150" t="str">
        <x:v>Sprint</x:v>
      </x:c>
      <x:c r="B4" s="150" t="str">
        <x:v>Gestion</x:v>
      </x:c>
      <x:c r="C4" s="150" t="str">
        <x:v>Objectif</x:v>
      </x:c>
      <x:c r="D4" s="150" t="str">
        <x:v>État</x:v>
      </x:c>
      <x:c r="E4" s="150" t="str">
        <x:v>Progression</x:v>
      </x:c>
      <x:c r="F4" s="150" t="str">
        <x:v>Dépendance</x:v>
      </x:c>
      <x:c r="G4" s="150" t="str">
        <x:v>Début</x:v>
      </x:c>
      <x:c r="H4" s="150" t="str">
        <x:v>Fin</x:v>
      </x:c>
      <x:c r="I4" s="150" t="str">
        <x:v>Durée (j)</x:v>
      </x:c>
      <x:c r="J4" s="150" t="str">
        <x:v>SP prévus</x:v>
      </x:c>
      <x:c r="K4" s="150" t="str">
        <x:v>SP réalisés</x:v>
      </x:c>
      <x:c r="L4" s="150" t="str">
        <x:v>Risque</x:v>
      </x:c>
      <x:c r="M4" s="150" t="str">
        <x:v>Responsable</x:v>
      </x:c>
      <x:c r="N4" s="160" t="n">
        <x:v>46258</x:v>
      </x:c>
      <x:c r="O4" s="160" t="n">
        <x:v>46265</x:v>
      </x:c>
      <x:c r="P4" s="160" t="n">
        <x:v>46272</x:v>
      </x:c>
      <x:c r="Q4" s="160" t="n">
        <x:v>46279</x:v>
      </x:c>
      <x:c r="R4" s="160" t="n">
        <x:v>46286</x:v>
      </x:c>
      <x:c r="S4" s="160" t="n">
        <x:v>46293</x:v>
      </x:c>
      <x:c r="T4" s="160" t="n">
        <x:v>46300</x:v>
      </x:c>
      <x:c r="U4" s="160" t="n">
        <x:v>46307</x:v>
      </x:c>
      <x:c r="V4" s="160" t="n">
        <x:v>46314</x:v>
      </x:c>
      <x:c r="W4" s="160" t="n">
        <x:v>46321</x:v>
      </x:c>
      <x:c r="X4" s="160" t="n">
        <x:v>46328</x:v>
      </x:c>
      <x:c r="Y4" s="160" t="n">
        <x:v>46335</x:v>
      </x:c>
      <x:c r="Z4" s="160" t="n">
        <x:v>46342</x:v>
      </x:c>
      <x:c r="AA4" s="160" t="n">
        <x:v>46349</x:v>
      </x:c>
      <x:c r="AB4" s="160" t="n">
        <x:v>46356</x:v>
      </x:c>
      <x:c r="AC4" s="160" t="n">
        <x:v>46363</x:v>
      </x:c>
      <x:c r="AD4" s="160" t="n">
        <x:v>46370</x:v>
      </x:c>
      <x:c r="AE4" s="160" t="n">
        <x:v>46377</x:v>
      </x:c>
      <x:c r="AF4" s="160" t="n">
        <x:v>46384</x:v>
      </x:c>
      <x:c r="AG4" s="160" t="n">
        <x:v>46391</x:v>
      </x:c>
      <x:c r="AH4" s="160" t="n">
        <x:v>46398</x:v>
      </x:c>
      <x:c r="AI4" s="160" t="n">
        <x:v>46405</x:v>
      </x:c>
      <x:c r="AJ4" s="160" t="n">
        <x:v>46412</x:v>
      </x:c>
    </x:row>
    <x:row r="5">
      <x:c r="A5" s="138" t="str">
        <x:v>Sprint 0</x:v>
      </x:c>
      <x:c r="B5" s="139" t="str">
        <x:v>Cadrage et initialisation</x:v>
      </x:c>
      <x:c r="C5" s="139" t="str">
        <x:v>Architecture, dépôts, conventions, environnement local</x:v>
      </x:c>
      <x:c r="D5" s="139" t="str">
        <x:v>En cours</x:v>
      </x:c>
      <x:c r="E5" s="140" t="n">
        <x:v>0.85</x:v>
      </x:c>
      <x:c r="F5" s="139" t="str"/>
      <x:c r="G5" s="161" t="n">
        <x:v>46258</x:v>
      </x:c>
      <x:c r="H5" s="161" t="n">
        <x:v>46269</x:v>
      </x:c>
      <x:c r="I5" s="139" t="n">
        <x:f>H5-G5+1</x:f>
        <x:v>12</x:v>
      </x:c>
      <x:c r="J5" s="139" t="n">
        <x:v>18</x:v>
      </x:c>
      <x:c r="K5" s="139" t="n">
        <x:f>ROUND(J5*E5,0)</x:f>
        <x:v>15</x:v>
      </x:c>
      <x:c r="L5" s="139" t="str">
        <x:v>Faible</x:v>
      </x:c>
      <x:c r="M5" s="141" t="str">
        <x:v>Équipe</x:v>
      </x:c>
      <x:c r="N5" s="162" t="n">
        <x:f>IF(AND(N$4&lt;=$H5,N$4+6&gt;=$G5),1,"")</x:f>
        <x:v>1</x:v>
      </x:c>
      <x:c r="O5" s="162" t="n">
        <x:f>IF(AND(O$4&lt;=$H5,O$4+6&gt;=$G5),1,"")</x:f>
        <x:v>1</x:v>
      </x:c>
      <x:c r="P5" s="162" t="str">
        <x:f>IF(AND(P$4&lt;=$H5,P$4+6&gt;=$G5),1,"")</x:f>
      </x:c>
      <x:c r="Q5" s="162" t="str">
        <x:f>IF(AND(Q$4&lt;=$H5,Q$4+6&gt;=$G5),1,"")</x:f>
      </x:c>
      <x:c r="R5" s="162" t="str">
        <x:f>IF(AND(R$4&lt;=$H5,R$4+6&gt;=$G5),1,"")</x:f>
      </x:c>
      <x:c r="S5" s="162" t="str">
        <x:f>IF(AND(S$4&lt;=$H5,S$4+6&gt;=$G5),1,"")</x:f>
      </x:c>
      <x:c r="T5" s="162" t="str">
        <x:f>IF(AND(T$4&lt;=$H5,T$4+6&gt;=$G5),1,"")</x:f>
      </x:c>
      <x:c r="U5" s="162" t="str">
        <x:f>IF(AND(U$4&lt;=$H5,U$4+6&gt;=$G5),1,"")</x:f>
      </x:c>
      <x:c r="V5" s="162" t="str">
        <x:f>IF(AND(V$4&lt;=$H5,V$4+6&gt;=$G5),1,"")</x:f>
      </x:c>
      <x:c r="W5" s="162" t="str">
        <x:f>IF(AND(W$4&lt;=$H5,W$4+6&gt;=$G5),1,"")</x:f>
      </x:c>
      <x:c r="X5" s="162" t="str">
        <x:f>IF(AND(X$4&lt;=$H5,X$4+6&gt;=$G5),1,"")</x:f>
      </x:c>
      <x:c r="Y5" s="162" t="str">
        <x:f>IF(AND(Y$4&lt;=$H5,Y$4+6&gt;=$G5),1,"")</x:f>
      </x:c>
      <x:c r="Z5" s="162" t="str">
        <x:f>IF(AND(Z$4&lt;=$H5,Z$4+6&gt;=$G5),1,"")</x:f>
      </x:c>
      <x:c r="AA5" s="162" t="str">
        <x:f>IF(AND(AA$4&lt;=$H5,AA$4+6&gt;=$G5),1,"")</x:f>
      </x:c>
      <x:c r="AB5" s="162" t="str">
        <x:f>IF(AND(AB$4&lt;=$H5,AB$4+6&gt;=$G5),1,"")</x:f>
      </x:c>
      <x:c r="AC5" s="162" t="str">
        <x:f>IF(AND(AC$4&lt;=$H5,AC$4+6&gt;=$G5),1,"")</x:f>
      </x:c>
      <x:c r="AD5" s="162" t="str">
        <x:f>IF(AND(AD$4&lt;=$H5,AD$4+6&gt;=$G5),1,"")</x:f>
      </x:c>
      <x:c r="AE5" s="162" t="str">
        <x:f>IF(AND(AE$4&lt;=$H5,AE$4+6&gt;=$G5),1,"")</x:f>
      </x:c>
      <x:c r="AF5" s="162" t="str">
        <x:f>IF(AND(AF$4&lt;=$H5,AF$4+6&gt;=$G5),1,"")</x:f>
      </x:c>
      <x:c r="AG5" s="162" t="str">
        <x:f>IF(AND(AG$4&lt;=$H5,AG$4+6&gt;=$G5),1,"")</x:f>
      </x:c>
      <x:c r="AH5" s="162" t="str">
        <x:f>IF(AND(AH$4&lt;=$H5,AH$4+6&gt;=$G5),1,"")</x:f>
      </x:c>
      <x:c r="AI5" s="162" t="str">
        <x:f>IF(AND(AI$4&lt;=$H5,AI$4+6&gt;=$G5),1,"")</x:f>
      </x:c>
      <x:c r="AJ5" s="162" t="str">
        <x:f>IF(AND(AJ$4&lt;=$H5,AJ$4+6&gt;=$G5),1,"")</x:f>
      </x:c>
    </x:row>
    <x:row r="6">
      <x:c r="A6" s="142" t="str">
        <x:v>Sprint 1</x:v>
      </x:c>
      <x:c r="B6" s="143" t="str">
        <x:v>Identité et accès</x:v>
      </x:c>
      <x:c r="C6" s="143" t="str">
        <x:v>JWT, utilisateurs, rôles simplifiés, profil et audit</x:v>
      </x:c>
      <x:c r="D6" s="143" t="str">
        <x:v>En cours</x:v>
      </x:c>
      <x:c r="E6" s="144" t="n">
        <x:v>0.8</x:v>
      </x:c>
      <x:c r="F6" s="143" t="str">
        <x:v>Sprint 0</x:v>
      </x:c>
      <x:c r="G6" s="163" t="n">
        <x:v>46272</x:v>
      </x:c>
      <x:c r="H6" s="163" t="n">
        <x:v>46283</x:v>
      </x:c>
      <x:c r="I6" s="143" t="n">
        <x:f>H6-G6+1</x:f>
        <x:v>12</x:v>
      </x:c>
      <x:c r="J6" s="143" t="n">
        <x:v>26</x:v>
      </x:c>
      <x:c r="K6" s="143" t="n">
        <x:f>ROUND(J6*E6,0)</x:f>
        <x:v>21</x:v>
      </x:c>
      <x:c r="L6" s="143" t="str">
        <x:v>Faible</x:v>
      </x:c>
      <x:c r="M6" s="145" t="str">
        <x:v>Malek Jendoubi</x:v>
      </x:c>
      <x:c r="N6" s="162" t="str">
        <x:f>IF(AND(N$4&lt;=$H6,N$4+6&gt;=$G6),1,"")</x:f>
      </x:c>
      <x:c r="O6" s="162" t="str">
        <x:f>IF(AND(O$4&lt;=$H6,O$4+6&gt;=$G6),1,"")</x:f>
      </x:c>
      <x:c r="P6" s="162" t="n">
        <x:f>IF(AND(P$4&lt;=$H6,P$4+6&gt;=$G6),1,"")</x:f>
        <x:v>1</x:v>
      </x:c>
      <x:c r="Q6" s="162" t="n">
        <x:f>IF(AND(Q$4&lt;=$H6,Q$4+6&gt;=$G6),1,"")</x:f>
        <x:v>1</x:v>
      </x:c>
      <x:c r="R6" s="162" t="str">
        <x:f>IF(AND(R$4&lt;=$H6,R$4+6&gt;=$G6),1,"")</x:f>
      </x:c>
      <x:c r="S6" s="162" t="str">
        <x:f>IF(AND(S$4&lt;=$H6,S$4+6&gt;=$G6),1,"")</x:f>
      </x:c>
      <x:c r="T6" s="162" t="str">
        <x:f>IF(AND(T$4&lt;=$H6,T$4+6&gt;=$G6),1,"")</x:f>
      </x:c>
      <x:c r="U6" s="162" t="str">
        <x:f>IF(AND(U$4&lt;=$H6,U$4+6&gt;=$G6),1,"")</x:f>
      </x:c>
      <x:c r="V6" s="162" t="str">
        <x:f>IF(AND(V$4&lt;=$H6,V$4+6&gt;=$G6),1,"")</x:f>
      </x:c>
      <x:c r="W6" s="162" t="str">
        <x:f>IF(AND(W$4&lt;=$H6,W$4+6&gt;=$G6),1,"")</x:f>
      </x:c>
      <x:c r="X6" s="162" t="str">
        <x:f>IF(AND(X$4&lt;=$H6,X$4+6&gt;=$G6),1,"")</x:f>
      </x:c>
      <x:c r="Y6" s="162" t="str">
        <x:f>IF(AND(Y$4&lt;=$H6,Y$4+6&gt;=$G6),1,"")</x:f>
      </x:c>
      <x:c r="Z6" s="162" t="str">
        <x:f>IF(AND(Z$4&lt;=$H6,Z$4+6&gt;=$G6),1,"")</x:f>
      </x:c>
      <x:c r="AA6" s="162" t="str">
        <x:f>IF(AND(AA$4&lt;=$H6,AA$4+6&gt;=$G6),1,"")</x:f>
      </x:c>
      <x:c r="AB6" s="162" t="str">
        <x:f>IF(AND(AB$4&lt;=$H6,AB$4+6&gt;=$G6),1,"")</x:f>
      </x:c>
      <x:c r="AC6" s="162" t="str">
        <x:f>IF(AND(AC$4&lt;=$H6,AC$4+6&gt;=$G6),1,"")</x:f>
      </x:c>
      <x:c r="AD6" s="162" t="str">
        <x:f>IF(AND(AD$4&lt;=$H6,AD$4+6&gt;=$G6),1,"")</x:f>
      </x:c>
      <x:c r="AE6" s="162" t="str">
        <x:f>IF(AND(AE$4&lt;=$H6,AE$4+6&gt;=$G6),1,"")</x:f>
      </x:c>
      <x:c r="AF6" s="162" t="str">
        <x:f>IF(AND(AF$4&lt;=$H6,AF$4+6&gt;=$G6),1,"")</x:f>
      </x:c>
      <x:c r="AG6" s="162" t="str">
        <x:f>IF(AND(AG$4&lt;=$H6,AG$4+6&gt;=$G6),1,"")</x:f>
      </x:c>
      <x:c r="AH6" s="162" t="str">
        <x:f>IF(AND(AH$4&lt;=$H6,AH$4+6&gt;=$G6),1,"")</x:f>
      </x:c>
      <x:c r="AI6" s="162" t="str">
        <x:f>IF(AND(AI$4&lt;=$H6,AI$4+6&gt;=$G6),1,"")</x:f>
      </x:c>
      <x:c r="AJ6" s="162" t="str">
        <x:f>IF(AND(AJ$4&lt;=$H6,AJ$4+6&gt;=$G6),1,"")</x:f>
      </x:c>
    </x:row>
    <x:row r="7">
      <x:c r="A7" s="142" t="str">
        <x:v>Sprint 2</x:v>
      </x:c>
      <x:c r="B7" s="143" t="str">
        <x:v>Catalogue des SI</x:v>
      </x:c>
      <x:c r="C7" s="143" t="str">
        <x:v>Environnements, SI, endpoints, filtres et validation</x:v>
      </x:c>
      <x:c r="D7" s="143" t="str">
        <x:v>En cours</x:v>
      </x:c>
      <x:c r="E7" s="144" t="n">
        <x:v>0.85</x:v>
      </x:c>
      <x:c r="F7" s="143" t="str">
        <x:v>Sprint 1</x:v>
      </x:c>
      <x:c r="G7" s="163" t="n">
        <x:v>46286</x:v>
      </x:c>
      <x:c r="H7" s="163" t="n">
        <x:v>46297</x:v>
      </x:c>
      <x:c r="I7" s="143" t="n">
        <x:f>H7-G7+1</x:f>
        <x:v>12</x:v>
      </x:c>
      <x:c r="J7" s="143" t="n">
        <x:v>29</x:v>
      </x:c>
      <x:c r="K7" s="143" t="n">
        <x:f>ROUND(J7*E7,0)</x:f>
        <x:v>25</x:v>
      </x:c>
      <x:c r="L7" s="143" t="str">
        <x:v>Faible</x:v>
      </x:c>
      <x:c r="M7" s="145" t="str">
        <x:v>Malek Jendoubi</x:v>
      </x:c>
      <x:c r="N7" s="162" t="str">
        <x:f>IF(AND(N$4&lt;=$H7,N$4+6&gt;=$G7),1,"")</x:f>
      </x:c>
      <x:c r="O7" s="162" t="str">
        <x:f>IF(AND(O$4&lt;=$H7,O$4+6&gt;=$G7),1,"")</x:f>
      </x:c>
      <x:c r="P7" s="162" t="str">
        <x:f>IF(AND(P$4&lt;=$H7,P$4+6&gt;=$G7),1,"")</x:f>
      </x:c>
      <x:c r="Q7" s="162" t="str">
        <x:f>IF(AND(Q$4&lt;=$H7,Q$4+6&gt;=$G7),1,"")</x:f>
      </x:c>
      <x:c r="R7" s="162" t="n">
        <x:f>IF(AND(R$4&lt;=$H7,R$4+6&gt;=$G7),1,"")</x:f>
        <x:v>1</x:v>
      </x:c>
      <x:c r="S7" s="162" t="n">
        <x:f>IF(AND(S$4&lt;=$H7,S$4+6&gt;=$G7),1,"")</x:f>
        <x:v>1</x:v>
      </x:c>
      <x:c r="T7" s="162" t="str">
        <x:f>IF(AND(T$4&lt;=$H7,T$4+6&gt;=$G7),1,"")</x:f>
      </x:c>
      <x:c r="U7" s="162" t="str">
        <x:f>IF(AND(U$4&lt;=$H7,U$4+6&gt;=$G7),1,"")</x:f>
      </x:c>
      <x:c r="V7" s="162" t="str">
        <x:f>IF(AND(V$4&lt;=$H7,V$4+6&gt;=$G7),1,"")</x:f>
      </x:c>
      <x:c r="W7" s="162" t="str">
        <x:f>IF(AND(W$4&lt;=$H7,W$4+6&gt;=$G7),1,"")</x:f>
      </x:c>
      <x:c r="X7" s="162" t="str">
        <x:f>IF(AND(X$4&lt;=$H7,X$4+6&gt;=$G7),1,"")</x:f>
      </x:c>
      <x:c r="Y7" s="162" t="str">
        <x:f>IF(AND(Y$4&lt;=$H7,Y$4+6&gt;=$G7),1,"")</x:f>
      </x:c>
      <x:c r="Z7" s="162" t="str">
        <x:f>IF(AND(Z$4&lt;=$H7,Z$4+6&gt;=$G7),1,"")</x:f>
      </x:c>
      <x:c r="AA7" s="162" t="str">
        <x:f>IF(AND(AA$4&lt;=$H7,AA$4+6&gt;=$G7),1,"")</x:f>
      </x:c>
      <x:c r="AB7" s="162" t="str">
        <x:f>IF(AND(AB$4&lt;=$H7,AB$4+6&gt;=$G7),1,"")</x:f>
      </x:c>
      <x:c r="AC7" s="162" t="str">
        <x:f>IF(AND(AC$4&lt;=$H7,AC$4+6&gt;=$G7),1,"")</x:f>
      </x:c>
      <x:c r="AD7" s="162" t="str">
        <x:f>IF(AND(AD$4&lt;=$H7,AD$4+6&gt;=$G7),1,"")</x:f>
      </x:c>
      <x:c r="AE7" s="162" t="str">
        <x:f>IF(AND(AE$4&lt;=$H7,AE$4+6&gt;=$G7),1,"")</x:f>
      </x:c>
      <x:c r="AF7" s="162" t="str">
        <x:f>IF(AND(AF$4&lt;=$H7,AF$4+6&gt;=$G7),1,"")</x:f>
      </x:c>
      <x:c r="AG7" s="162" t="str">
        <x:f>IF(AND(AG$4&lt;=$H7,AG$4+6&gt;=$G7),1,"")</x:f>
      </x:c>
      <x:c r="AH7" s="162" t="str">
        <x:f>IF(AND(AH$4&lt;=$H7,AH$4+6&gt;=$G7),1,"")</x:f>
      </x:c>
      <x:c r="AI7" s="162" t="str">
        <x:f>IF(AND(AI$4&lt;=$H7,AI$4+6&gt;=$G7),1,"")</x:f>
      </x:c>
      <x:c r="AJ7" s="162" t="str">
        <x:f>IF(AND(AJ$4&lt;=$H7,AJ$4+6&gt;=$G7),1,"")</x:f>
      </x:c>
    </x:row>
    <x:row r="8">
      <x:c r="A8" s="142" t="str">
        <x:v>Sprint 3</x:v>
      </x:c>
      <x:c r="B8" s="143" t="str">
        <x:v>Moteur de monitoring</x:v>
      </x:c>
      <x:c r="C8" s="143" t="str">
        <x:v>HTTP, API JSON, TLS, worker, verrou distribué et preuves</x:v>
      </x:c>
      <x:c r="D8" s="143" t="str">
        <x:v>En cours</x:v>
      </x:c>
      <x:c r="E8" s="144" t="n">
        <x:v>0.9</x:v>
      </x:c>
      <x:c r="F8" s="143" t="str">
        <x:v>Sprint 2</x:v>
      </x:c>
      <x:c r="G8" s="163" t="n">
        <x:v>46300</x:v>
      </x:c>
      <x:c r="H8" s="163" t="n">
        <x:v>46311</x:v>
      </x:c>
      <x:c r="I8" s="143" t="n">
        <x:f>H8-G8+1</x:f>
        <x:v>12</x:v>
      </x:c>
      <x:c r="J8" s="143" t="n">
        <x:v>31</x:v>
      </x:c>
      <x:c r="K8" s="143" t="n">
        <x:f>ROUND(J8*E8,0)</x:f>
        <x:v>28</x:v>
      </x:c>
      <x:c r="L8" s="143" t="str">
        <x:v>Faible</x:v>
      </x:c>
      <x:c r="M8" s="145" t="str">
        <x:v>Malek Jendoubi</x:v>
      </x:c>
      <x:c r="N8" s="162" t="str">
        <x:f>IF(AND(N$4&lt;=$H8,N$4+6&gt;=$G8),1,"")</x:f>
      </x:c>
      <x:c r="O8" s="162" t="str">
        <x:f>IF(AND(O$4&lt;=$H8,O$4+6&gt;=$G8),1,"")</x:f>
      </x:c>
      <x:c r="P8" s="162" t="str">
        <x:f>IF(AND(P$4&lt;=$H8,P$4+6&gt;=$G8),1,"")</x:f>
      </x:c>
      <x:c r="Q8" s="162" t="str">
        <x:f>IF(AND(Q$4&lt;=$H8,Q$4+6&gt;=$G8),1,"")</x:f>
      </x:c>
      <x:c r="R8" s="162" t="str">
        <x:f>IF(AND(R$4&lt;=$H8,R$4+6&gt;=$G8),1,"")</x:f>
      </x:c>
      <x:c r="S8" s="162" t="str">
        <x:f>IF(AND(S$4&lt;=$H8,S$4+6&gt;=$G8),1,"")</x:f>
      </x:c>
      <x:c r="T8" s="162" t="n">
        <x:f>IF(AND(T$4&lt;=$H8,T$4+6&gt;=$G8),1,"")</x:f>
        <x:v>1</x:v>
      </x:c>
      <x:c r="U8" s="162" t="n">
        <x:f>IF(AND(U$4&lt;=$H8,U$4+6&gt;=$G8),1,"")</x:f>
        <x:v>1</x:v>
      </x:c>
      <x:c r="V8" s="162" t="str">
        <x:f>IF(AND(V$4&lt;=$H8,V$4+6&gt;=$G8),1,"")</x:f>
      </x:c>
      <x:c r="W8" s="162" t="str">
        <x:f>IF(AND(W$4&lt;=$H8,W$4+6&gt;=$G8),1,"")</x:f>
      </x:c>
      <x:c r="X8" s="162" t="str">
        <x:f>IF(AND(X$4&lt;=$H8,X$4+6&gt;=$G8),1,"")</x:f>
      </x:c>
      <x:c r="Y8" s="162" t="str">
        <x:f>IF(AND(Y$4&lt;=$H8,Y$4+6&gt;=$G8),1,"")</x:f>
      </x:c>
      <x:c r="Z8" s="162" t="str">
        <x:f>IF(AND(Z$4&lt;=$H8,Z$4+6&gt;=$G8),1,"")</x:f>
      </x:c>
      <x:c r="AA8" s="162" t="str">
        <x:f>IF(AND(AA$4&lt;=$H8,AA$4+6&gt;=$G8),1,"")</x:f>
      </x:c>
      <x:c r="AB8" s="162" t="str">
        <x:f>IF(AND(AB$4&lt;=$H8,AB$4+6&gt;=$G8),1,"")</x:f>
      </x:c>
      <x:c r="AC8" s="162" t="str">
        <x:f>IF(AND(AC$4&lt;=$H8,AC$4+6&gt;=$G8),1,"")</x:f>
      </x:c>
      <x:c r="AD8" s="162" t="str">
        <x:f>IF(AND(AD$4&lt;=$H8,AD$4+6&gt;=$G8),1,"")</x:f>
      </x:c>
      <x:c r="AE8" s="162" t="str">
        <x:f>IF(AND(AE$4&lt;=$H8,AE$4+6&gt;=$G8),1,"")</x:f>
      </x:c>
      <x:c r="AF8" s="162" t="str">
        <x:f>IF(AND(AF$4&lt;=$H8,AF$4+6&gt;=$G8),1,"")</x:f>
      </x:c>
      <x:c r="AG8" s="162" t="str">
        <x:f>IF(AND(AG$4&lt;=$H8,AG$4+6&gt;=$G8),1,"")</x:f>
      </x:c>
      <x:c r="AH8" s="162" t="str">
        <x:f>IF(AND(AH$4&lt;=$H8,AH$4+6&gt;=$G8),1,"")</x:f>
      </x:c>
      <x:c r="AI8" s="162" t="str">
        <x:f>IF(AND(AI$4&lt;=$H8,AI$4+6&gt;=$G8),1,"")</x:f>
      </x:c>
      <x:c r="AJ8" s="162" t="str">
        <x:f>IF(AND(AJ$4&lt;=$H8,AJ$4+6&gt;=$G8),1,"")</x:f>
      </x:c>
    </x:row>
    <x:row r="9">
      <x:c r="A9" s="142" t="str">
        <x:v>Sprint 4</x:v>
      </x:c>
      <x:c r="B9" s="143" t="str">
        <x:v>Simulateurs</x:v>
      </x:c>
      <x:c r="C9" s="143" t="str">
        <x:v>Core Banking/Oracle, RNE/MongoDB, SMS/MySQL, RH/SQL Server</x:v>
      </x:c>
      <x:c r="D9" s="143" t="str">
        <x:v>En cours</x:v>
      </x:c>
      <x:c r="E9" s="144" t="n">
        <x:v>0.75</x:v>
      </x:c>
      <x:c r="F9" s="143" t="str">
        <x:v>Sprint 3</x:v>
      </x:c>
      <x:c r="G9" s="163" t="n">
        <x:v>46314</x:v>
      </x:c>
      <x:c r="H9" s="163" t="n">
        <x:v>46325</x:v>
      </x:c>
      <x:c r="I9" s="143" t="n">
        <x:f>H9-G9+1</x:f>
        <x:v>12</x:v>
      </x:c>
      <x:c r="J9" s="143" t="n">
        <x:v>37</x:v>
      </x:c>
      <x:c r="K9" s="143" t="n">
        <x:f>ROUND(J9*E9,0)</x:f>
        <x:v>28</x:v>
      </x:c>
      <x:c r="L9" s="143" t="str">
        <x:v>Faible</x:v>
      </x:c>
      <x:c r="M9" s="145" t="str">
        <x:v>Malek Jendoubi</x:v>
      </x:c>
      <x:c r="N9" s="162" t="str">
        <x:f>IF(AND(N$4&lt;=$H9,N$4+6&gt;=$G9),1,"")</x:f>
      </x:c>
      <x:c r="O9" s="162" t="str">
        <x:f>IF(AND(O$4&lt;=$H9,O$4+6&gt;=$G9),1,"")</x:f>
      </x:c>
      <x:c r="P9" s="162" t="str">
        <x:f>IF(AND(P$4&lt;=$H9,P$4+6&gt;=$G9),1,"")</x:f>
      </x:c>
      <x:c r="Q9" s="162" t="str">
        <x:f>IF(AND(Q$4&lt;=$H9,Q$4+6&gt;=$G9),1,"")</x:f>
      </x:c>
      <x:c r="R9" s="162" t="str">
        <x:f>IF(AND(R$4&lt;=$H9,R$4+6&gt;=$G9),1,"")</x:f>
      </x:c>
      <x:c r="S9" s="162" t="str">
        <x:f>IF(AND(S$4&lt;=$H9,S$4+6&gt;=$G9),1,"")</x:f>
      </x:c>
      <x:c r="T9" s="162" t="str">
        <x:f>IF(AND(T$4&lt;=$H9,T$4+6&gt;=$G9),1,"")</x:f>
      </x:c>
      <x:c r="U9" s="162" t="str">
        <x:f>IF(AND(U$4&lt;=$H9,U$4+6&gt;=$G9),1,"")</x:f>
      </x:c>
      <x:c r="V9" s="162" t="n">
        <x:f>IF(AND(V$4&lt;=$H9,V$4+6&gt;=$G9),1,"")</x:f>
        <x:v>1</x:v>
      </x:c>
      <x:c r="W9" s="162" t="n">
        <x:f>IF(AND(W$4&lt;=$H9,W$4+6&gt;=$G9),1,"")</x:f>
        <x:v>1</x:v>
      </x:c>
      <x:c r="X9" s="162" t="str">
        <x:f>IF(AND(X$4&lt;=$H9,X$4+6&gt;=$G9),1,"")</x:f>
      </x:c>
      <x:c r="Y9" s="162" t="str">
        <x:f>IF(AND(Y$4&lt;=$H9,Y$4+6&gt;=$G9),1,"")</x:f>
      </x:c>
      <x:c r="Z9" s="162" t="str">
        <x:f>IF(AND(Z$4&lt;=$H9,Z$4+6&gt;=$G9),1,"")</x:f>
      </x:c>
      <x:c r="AA9" s="162" t="str">
        <x:f>IF(AND(AA$4&lt;=$H9,AA$4+6&gt;=$G9),1,"")</x:f>
      </x:c>
      <x:c r="AB9" s="162" t="str">
        <x:f>IF(AND(AB$4&lt;=$H9,AB$4+6&gt;=$G9),1,"")</x:f>
      </x:c>
      <x:c r="AC9" s="162" t="str">
        <x:f>IF(AND(AC$4&lt;=$H9,AC$4+6&gt;=$G9),1,"")</x:f>
      </x:c>
      <x:c r="AD9" s="162" t="str">
        <x:f>IF(AND(AD$4&lt;=$H9,AD$4+6&gt;=$G9),1,"")</x:f>
      </x:c>
      <x:c r="AE9" s="162" t="str">
        <x:f>IF(AND(AE$4&lt;=$H9,AE$4+6&gt;=$G9),1,"")</x:f>
      </x:c>
      <x:c r="AF9" s="162" t="str">
        <x:f>IF(AND(AF$4&lt;=$H9,AF$4+6&gt;=$G9),1,"")</x:f>
      </x:c>
      <x:c r="AG9" s="162" t="str">
        <x:f>IF(AND(AG$4&lt;=$H9,AG$4+6&gt;=$G9),1,"")</x:f>
      </x:c>
      <x:c r="AH9" s="162" t="str">
        <x:f>IF(AND(AH$4&lt;=$H9,AH$4+6&gt;=$G9),1,"")</x:f>
      </x:c>
      <x:c r="AI9" s="162" t="str">
        <x:f>IF(AND(AI$4&lt;=$H9,AI$4+6&gt;=$G9),1,"")</x:f>
      </x:c>
      <x:c r="AJ9" s="162" t="str">
        <x:f>IF(AND(AJ$4&lt;=$H9,AJ$4+6&gt;=$G9),1,"")</x:f>
      </x:c>
    </x:row>
    <x:row r="10">
      <x:c r="A10" s="142" t="str">
        <x:v>Sprint 5</x:v>
      </x:c>
      <x:c r="B10" s="143" t="str">
        <x:v>Alertes et incidents</x:v>
      </x:c>
      <x:c r="C10" s="143" t="str">
        <x:v>Règles, corrélation, incidents, SLA, affectation et résolution</x:v>
      </x:c>
      <x:c r="D10" s="143" t="str">
        <x:v>En cours</x:v>
      </x:c>
      <x:c r="E10" s="144" t="n">
        <x:v>0.9</x:v>
      </x:c>
      <x:c r="F10" s="143" t="str">
        <x:v>Sprint 3</x:v>
      </x:c>
      <x:c r="G10" s="163" t="n">
        <x:v>46328</x:v>
      </x:c>
      <x:c r="H10" s="163" t="n">
        <x:v>46339</x:v>
      </x:c>
      <x:c r="I10" s="143" t="n">
        <x:f>H10-G10+1</x:f>
        <x:v>12</x:v>
      </x:c>
      <x:c r="J10" s="143" t="n">
        <x:v>40</x:v>
      </x:c>
      <x:c r="K10" s="143" t="n">
        <x:f>ROUND(J10*E10,0)</x:f>
        <x:v>36</x:v>
      </x:c>
      <x:c r="L10" s="143" t="str">
        <x:v>Faible</x:v>
      </x:c>
      <x:c r="M10" s="145" t="str">
        <x:v>Malek Jendoubi</x:v>
      </x:c>
      <x:c r="N10" s="162" t="str">
        <x:f>IF(AND(N$4&lt;=$H10,N$4+6&gt;=$G10),1,"")</x:f>
      </x:c>
      <x:c r="O10" s="162" t="str">
        <x:f>IF(AND(O$4&lt;=$H10,O$4+6&gt;=$G10),1,"")</x:f>
      </x:c>
      <x:c r="P10" s="162" t="str">
        <x:f>IF(AND(P$4&lt;=$H10,P$4+6&gt;=$G10),1,"")</x:f>
      </x:c>
      <x:c r="Q10" s="162" t="str">
        <x:f>IF(AND(Q$4&lt;=$H10,Q$4+6&gt;=$G10),1,"")</x:f>
      </x:c>
      <x:c r="R10" s="162" t="str">
        <x:f>IF(AND(R$4&lt;=$H10,R$4+6&gt;=$G10),1,"")</x:f>
      </x:c>
      <x:c r="S10" s="162" t="str">
        <x:f>IF(AND(S$4&lt;=$H10,S$4+6&gt;=$G10),1,"")</x:f>
      </x:c>
      <x:c r="T10" s="162" t="str">
        <x:f>IF(AND(T$4&lt;=$H10,T$4+6&gt;=$G10),1,"")</x:f>
      </x:c>
      <x:c r="U10" s="162" t="str">
        <x:f>IF(AND(U$4&lt;=$H10,U$4+6&gt;=$G10),1,"")</x:f>
      </x:c>
      <x:c r="V10" s="162" t="str">
        <x:f>IF(AND(V$4&lt;=$H10,V$4+6&gt;=$G10),1,"")</x:f>
      </x:c>
      <x:c r="W10" s="162" t="str">
        <x:f>IF(AND(W$4&lt;=$H10,W$4+6&gt;=$G10),1,"")</x:f>
      </x:c>
      <x:c r="X10" s="162" t="n">
        <x:f>IF(AND(X$4&lt;=$H10,X$4+6&gt;=$G10),1,"")</x:f>
        <x:v>1</x:v>
      </x:c>
      <x:c r="Y10" s="162" t="n">
        <x:f>IF(AND(Y$4&lt;=$H10,Y$4+6&gt;=$G10),1,"")</x:f>
        <x:v>1</x:v>
      </x:c>
      <x:c r="Z10" s="162" t="str">
        <x:f>IF(AND(Z$4&lt;=$H10,Z$4+6&gt;=$G10),1,"")</x:f>
      </x:c>
      <x:c r="AA10" s="162" t="str">
        <x:f>IF(AND(AA$4&lt;=$H10,AA$4+6&gt;=$G10),1,"")</x:f>
      </x:c>
      <x:c r="AB10" s="162" t="str">
        <x:f>IF(AND(AB$4&lt;=$H10,AB$4+6&gt;=$G10),1,"")</x:f>
      </x:c>
      <x:c r="AC10" s="162" t="str">
        <x:f>IF(AND(AC$4&lt;=$H10,AC$4+6&gt;=$G10),1,"")</x:f>
      </x:c>
      <x:c r="AD10" s="162" t="str">
        <x:f>IF(AND(AD$4&lt;=$H10,AD$4+6&gt;=$G10),1,"")</x:f>
      </x:c>
      <x:c r="AE10" s="162" t="str">
        <x:f>IF(AND(AE$4&lt;=$H10,AE$4+6&gt;=$G10),1,"")</x:f>
      </x:c>
      <x:c r="AF10" s="162" t="str">
        <x:f>IF(AND(AF$4&lt;=$H10,AF$4+6&gt;=$G10),1,"")</x:f>
      </x:c>
      <x:c r="AG10" s="162" t="str">
        <x:f>IF(AND(AG$4&lt;=$H10,AG$4+6&gt;=$G10),1,"")</x:f>
      </x:c>
      <x:c r="AH10" s="162" t="str">
        <x:f>IF(AND(AH$4&lt;=$H10,AH$4+6&gt;=$G10),1,"")</x:f>
      </x:c>
      <x:c r="AI10" s="162" t="str">
        <x:f>IF(AND(AI$4&lt;=$H10,AI$4+6&gt;=$G10),1,"")</x:f>
      </x:c>
      <x:c r="AJ10" s="162" t="str">
        <x:f>IF(AND(AJ$4&lt;=$H10,AJ$4+6&gt;=$G10),1,"")</x:f>
      </x:c>
    </x:row>
    <x:row r="11">
      <x:c r="A11" s="142" t="str">
        <x:v>Sprint 6</x:v>
      </x:c>
      <x:c r="B11" s="143" t="str">
        <x:v>Notifications</x:v>
      </x:c>
      <x:c r="C11" s="143" t="str">
        <x:v>Préférences, Brevo, Twilio et escalade différée</x:v>
      </x:c>
      <x:c r="D11" s="143" t="str">
        <x:v>En cours</x:v>
      </x:c>
      <x:c r="E11" s="144" t="n">
        <x:v>0.7</x:v>
      </x:c>
      <x:c r="F11" s="143" t="str">
        <x:v>Sprint 5</x:v>
      </x:c>
      <x:c r="G11" s="163" t="n">
        <x:v>46342</x:v>
      </x:c>
      <x:c r="H11" s="163" t="n">
        <x:v>46353</x:v>
      </x:c>
      <x:c r="I11" s="143" t="n">
        <x:f>H11-G11+1</x:f>
        <x:v>12</x:v>
      </x:c>
      <x:c r="J11" s="143" t="n">
        <x:v>36</x:v>
      </x:c>
      <x:c r="K11" s="143" t="n">
        <x:f>ROUND(J11*E11,0)</x:f>
        <x:v>25</x:v>
      </x:c>
      <x:c r="L11" s="143" t="str">
        <x:v>Moyen</x:v>
      </x:c>
      <x:c r="M11" s="145" t="str">
        <x:v>Malek Jendoubi</x:v>
      </x:c>
      <x:c r="N11" s="162" t="str">
        <x:f>IF(AND(N$4&lt;=$H11,N$4+6&gt;=$G11),1,"")</x:f>
      </x:c>
      <x:c r="O11" s="162" t="str">
        <x:f>IF(AND(O$4&lt;=$H11,O$4+6&gt;=$G11),1,"")</x:f>
      </x:c>
      <x:c r="P11" s="162" t="str">
        <x:f>IF(AND(P$4&lt;=$H11,P$4+6&gt;=$G11),1,"")</x:f>
      </x:c>
      <x:c r="Q11" s="162" t="str">
        <x:f>IF(AND(Q$4&lt;=$H11,Q$4+6&gt;=$G11),1,"")</x:f>
      </x:c>
      <x:c r="R11" s="162" t="str">
        <x:f>IF(AND(R$4&lt;=$H11,R$4+6&gt;=$G11),1,"")</x:f>
      </x:c>
      <x:c r="S11" s="162" t="str">
        <x:f>IF(AND(S$4&lt;=$H11,S$4+6&gt;=$G11),1,"")</x:f>
      </x:c>
      <x:c r="T11" s="162" t="str">
        <x:f>IF(AND(T$4&lt;=$H11,T$4+6&gt;=$G11),1,"")</x:f>
      </x:c>
      <x:c r="U11" s="162" t="str">
        <x:f>IF(AND(U$4&lt;=$H11,U$4+6&gt;=$G11),1,"")</x:f>
      </x:c>
      <x:c r="V11" s="162" t="str">
        <x:f>IF(AND(V$4&lt;=$H11,V$4+6&gt;=$G11),1,"")</x:f>
      </x:c>
      <x:c r="W11" s="162" t="str">
        <x:f>IF(AND(W$4&lt;=$H11,W$4+6&gt;=$G11),1,"")</x:f>
      </x:c>
      <x:c r="X11" s="162" t="str">
        <x:f>IF(AND(X$4&lt;=$H11,X$4+6&gt;=$G11),1,"")</x:f>
      </x:c>
      <x:c r="Y11" s="162" t="str">
        <x:f>IF(AND(Y$4&lt;=$H11,Y$4+6&gt;=$G11),1,"")</x:f>
      </x:c>
      <x:c r="Z11" s="162" t="n">
        <x:f>IF(AND(Z$4&lt;=$H11,Z$4+6&gt;=$G11),1,"")</x:f>
        <x:v>1</x:v>
      </x:c>
      <x:c r="AA11" s="162" t="n">
        <x:f>IF(AND(AA$4&lt;=$H11,AA$4+6&gt;=$G11),1,"")</x:f>
        <x:v>1</x:v>
      </x:c>
      <x:c r="AB11" s="162" t="str">
        <x:f>IF(AND(AB$4&lt;=$H11,AB$4+6&gt;=$G11),1,"")</x:f>
      </x:c>
      <x:c r="AC11" s="162" t="str">
        <x:f>IF(AND(AC$4&lt;=$H11,AC$4+6&gt;=$G11),1,"")</x:f>
      </x:c>
      <x:c r="AD11" s="162" t="str">
        <x:f>IF(AND(AD$4&lt;=$H11,AD$4+6&gt;=$G11),1,"")</x:f>
      </x:c>
      <x:c r="AE11" s="162" t="str">
        <x:f>IF(AND(AE$4&lt;=$H11,AE$4+6&gt;=$G11),1,"")</x:f>
      </x:c>
      <x:c r="AF11" s="162" t="str">
        <x:f>IF(AND(AF$4&lt;=$H11,AF$4+6&gt;=$G11),1,"")</x:f>
      </x:c>
      <x:c r="AG11" s="162" t="str">
        <x:f>IF(AND(AG$4&lt;=$H11,AG$4+6&gt;=$G11),1,"")</x:f>
      </x:c>
      <x:c r="AH11" s="162" t="str">
        <x:f>IF(AND(AH$4&lt;=$H11,AH$4+6&gt;=$G11),1,"")</x:f>
      </x:c>
      <x:c r="AI11" s="162" t="str">
        <x:f>IF(AND(AI$4&lt;=$H11,AI$4+6&gt;=$G11),1,"")</x:f>
      </x:c>
      <x:c r="AJ11" s="162" t="str">
        <x:f>IF(AND(AJ$4&lt;=$H11,AJ$4+6&gt;=$G11),1,"")</x:f>
      </x:c>
    </x:row>
    <x:row r="12">
      <x:c r="A12" s="142" t="str">
        <x:v>Sprint 7</x:v>
      </x:c>
      <x:c r="B12" s="143" t="str">
        <x:v>Dashboard et rapports</x:v>
      </x:c>
      <x:c r="C12" s="143" t="str">
        <x:v>KPI, filtres, vues sauvegardées, PDF, XLSX et CSV</x:v>
      </x:c>
      <x:c r="D12" s="143" t="str">
        <x:v>En cours</x:v>
      </x:c>
      <x:c r="E12" s="144" t="n">
        <x:v>0.75</x:v>
      </x:c>
      <x:c r="F12" s="143" t="str">
        <x:v>Sprint 5</x:v>
      </x:c>
      <x:c r="G12" s="163" t="n">
        <x:v>46356</x:v>
      </x:c>
      <x:c r="H12" s="163" t="n">
        <x:v>46367</x:v>
      </x:c>
      <x:c r="I12" s="143" t="n">
        <x:f>H12-G12+1</x:f>
        <x:v>12</x:v>
      </x:c>
      <x:c r="J12" s="143" t="n">
        <x:v>37</x:v>
      </x:c>
      <x:c r="K12" s="143" t="n">
        <x:f>ROUND(J12*E12,0)</x:f>
        <x:v>28</x:v>
      </x:c>
      <x:c r="L12" s="143" t="str">
        <x:v>Faible</x:v>
      </x:c>
      <x:c r="M12" s="145" t="str">
        <x:v>Malek Jendoubi</x:v>
      </x:c>
      <x:c r="N12" s="162" t="str">
        <x:f>IF(AND(N$4&lt;=$H12,N$4+6&gt;=$G12),1,"")</x:f>
      </x:c>
      <x:c r="O12" s="162" t="str">
        <x:f>IF(AND(O$4&lt;=$H12,O$4+6&gt;=$G12),1,"")</x:f>
      </x:c>
      <x:c r="P12" s="162" t="str">
        <x:f>IF(AND(P$4&lt;=$H12,P$4+6&gt;=$G12),1,"")</x:f>
      </x:c>
      <x:c r="Q12" s="162" t="str">
        <x:f>IF(AND(Q$4&lt;=$H12,Q$4+6&gt;=$G12),1,"")</x:f>
      </x:c>
      <x:c r="R12" s="162" t="str">
        <x:f>IF(AND(R$4&lt;=$H12,R$4+6&gt;=$G12),1,"")</x:f>
      </x:c>
      <x:c r="S12" s="162" t="str">
        <x:f>IF(AND(S$4&lt;=$H12,S$4+6&gt;=$G12),1,"")</x:f>
      </x:c>
      <x:c r="T12" s="162" t="str">
        <x:f>IF(AND(T$4&lt;=$H12,T$4+6&gt;=$G12),1,"")</x:f>
      </x:c>
      <x:c r="U12" s="162" t="str">
        <x:f>IF(AND(U$4&lt;=$H12,U$4+6&gt;=$G12),1,"")</x:f>
      </x:c>
      <x:c r="V12" s="162" t="str">
        <x:f>IF(AND(V$4&lt;=$H12,V$4+6&gt;=$G12),1,"")</x:f>
      </x:c>
      <x:c r="W12" s="162" t="str">
        <x:f>IF(AND(W$4&lt;=$H12,W$4+6&gt;=$G12),1,"")</x:f>
      </x:c>
      <x:c r="X12" s="162" t="str">
        <x:f>IF(AND(X$4&lt;=$H12,X$4+6&gt;=$G12),1,"")</x:f>
      </x:c>
      <x:c r="Y12" s="162" t="str">
        <x:f>IF(AND(Y$4&lt;=$H12,Y$4+6&gt;=$G12),1,"")</x:f>
      </x:c>
      <x:c r="Z12" s="162" t="str">
        <x:f>IF(AND(Z$4&lt;=$H12,Z$4+6&gt;=$G12),1,"")</x:f>
      </x:c>
      <x:c r="AA12" s="162" t="str">
        <x:f>IF(AND(AA$4&lt;=$H12,AA$4+6&gt;=$G12),1,"")</x:f>
      </x:c>
      <x:c r="AB12" s="162" t="n">
        <x:f>IF(AND(AB$4&lt;=$H12,AB$4+6&gt;=$G12),1,"")</x:f>
        <x:v>1</x:v>
      </x:c>
      <x:c r="AC12" s="162" t="n">
        <x:f>IF(AND(AC$4&lt;=$H12,AC$4+6&gt;=$G12),1,"")</x:f>
        <x:v>1</x:v>
      </x:c>
      <x:c r="AD12" s="162" t="str">
        <x:f>IF(AND(AD$4&lt;=$H12,AD$4+6&gt;=$G12),1,"")</x:f>
      </x:c>
      <x:c r="AE12" s="162" t="str">
        <x:f>IF(AND(AE$4&lt;=$H12,AE$4+6&gt;=$G12),1,"")</x:f>
      </x:c>
      <x:c r="AF12" s="162" t="str">
        <x:f>IF(AND(AF$4&lt;=$H12,AF$4+6&gt;=$G12),1,"")</x:f>
      </x:c>
      <x:c r="AG12" s="162" t="str">
        <x:f>IF(AND(AG$4&lt;=$H12,AG$4+6&gt;=$G12),1,"")</x:f>
      </x:c>
      <x:c r="AH12" s="162" t="str">
        <x:f>IF(AND(AH$4&lt;=$H12,AH$4+6&gt;=$G12),1,"")</x:f>
      </x:c>
      <x:c r="AI12" s="162" t="str">
        <x:f>IF(AND(AI$4&lt;=$H12,AI$4+6&gt;=$G12),1,"")</x:f>
      </x:c>
      <x:c r="AJ12" s="162" t="str">
        <x:f>IF(AND(AJ$4&lt;=$H12,AJ$4+6&gt;=$G12),1,"")</x:f>
      </x:c>
    </x:row>
    <x:row r="13">
      <x:c r="A13" s="142" t="str">
        <x:v>Sprint 8</x:v>
      </x:c>
      <x:c r="B13" s="143" t="str">
        <x:v>IA explicable</x:v>
      </x:c>
      <x:c r="C13" s="143" t="str">
        <x:v>Dérive, score de risque, similarité et recommandations</x:v>
      </x:c>
      <x:c r="D13" s="143" t="str">
        <x:v>À faire</x:v>
      </x:c>
      <x:c r="E13" s="144" t="n">
        <x:v>0</x:v>
      </x:c>
      <x:c r="F13" s="143" t="str">
        <x:v>Sprint 7</x:v>
      </x:c>
      <x:c r="G13" s="163" t="n">
        <x:v>46370</x:v>
      </x:c>
      <x:c r="H13" s="163" t="n">
        <x:v>46381</x:v>
      </x:c>
      <x:c r="I13" s="143" t="n">
        <x:f>H13-G13+1</x:f>
        <x:v>12</x:v>
      </x:c>
      <x:c r="J13" s="143" t="n">
        <x:v>24</x:v>
      </x:c>
      <x:c r="K13" s="143" t="n">
        <x:f>ROUND(J13*E13,0)</x:f>
        <x:v>0</x:v>
      </x:c>
      <x:c r="L13" s="143" t="str">
        <x:v>Élevé</x:v>
      </x:c>
      <x:c r="M13" s="145" t="str">
        <x:v>Malek Jendoubi</x:v>
      </x:c>
      <x:c r="N13" s="162" t="str">
        <x:f>IF(AND(N$4&lt;=$H13,N$4+6&gt;=$G13),1,"")</x:f>
      </x:c>
      <x:c r="O13" s="162" t="str">
        <x:f>IF(AND(O$4&lt;=$H13,O$4+6&gt;=$G13),1,"")</x:f>
      </x:c>
      <x:c r="P13" s="162" t="str">
        <x:f>IF(AND(P$4&lt;=$H13,P$4+6&gt;=$G13),1,"")</x:f>
      </x:c>
      <x:c r="Q13" s="162" t="str">
        <x:f>IF(AND(Q$4&lt;=$H13,Q$4+6&gt;=$G13),1,"")</x:f>
      </x:c>
      <x:c r="R13" s="162" t="str">
        <x:f>IF(AND(R$4&lt;=$H13,R$4+6&gt;=$G13),1,"")</x:f>
      </x:c>
      <x:c r="S13" s="162" t="str">
        <x:f>IF(AND(S$4&lt;=$H13,S$4+6&gt;=$G13),1,"")</x:f>
      </x:c>
      <x:c r="T13" s="162" t="str">
        <x:f>IF(AND(T$4&lt;=$H13,T$4+6&gt;=$G13),1,"")</x:f>
      </x:c>
      <x:c r="U13" s="162" t="str">
        <x:f>IF(AND(U$4&lt;=$H13,U$4+6&gt;=$G13),1,"")</x:f>
      </x:c>
      <x:c r="V13" s="162" t="str">
        <x:f>IF(AND(V$4&lt;=$H13,V$4+6&gt;=$G13),1,"")</x:f>
      </x:c>
      <x:c r="W13" s="162" t="str">
        <x:f>IF(AND(W$4&lt;=$H13,W$4+6&gt;=$G13),1,"")</x:f>
      </x:c>
      <x:c r="X13" s="162" t="str">
        <x:f>IF(AND(X$4&lt;=$H13,X$4+6&gt;=$G13),1,"")</x:f>
      </x:c>
      <x:c r="Y13" s="162" t="str">
        <x:f>IF(AND(Y$4&lt;=$H13,Y$4+6&gt;=$G13),1,"")</x:f>
      </x:c>
      <x:c r="Z13" s="162" t="str">
        <x:f>IF(AND(Z$4&lt;=$H13,Z$4+6&gt;=$G13),1,"")</x:f>
      </x:c>
      <x:c r="AA13" s="162" t="str">
        <x:f>IF(AND(AA$4&lt;=$H13,AA$4+6&gt;=$G13),1,"")</x:f>
      </x:c>
      <x:c r="AB13" s="162" t="str">
        <x:f>IF(AND(AB$4&lt;=$H13,AB$4+6&gt;=$G13),1,"")</x:f>
      </x:c>
      <x:c r="AC13" s="162" t="str">
        <x:f>IF(AND(AC$4&lt;=$H13,AC$4+6&gt;=$G13),1,"")</x:f>
      </x:c>
      <x:c r="AD13" s="162" t="n">
        <x:f>IF(AND(AD$4&lt;=$H13,AD$4+6&gt;=$G13),1,"")</x:f>
        <x:v>1</x:v>
      </x:c>
      <x:c r="AE13" s="162" t="n">
        <x:f>IF(AND(AE$4&lt;=$H13,AE$4+6&gt;=$G13),1,"")</x:f>
        <x:v>1</x:v>
      </x:c>
      <x:c r="AF13" s="162" t="str">
        <x:f>IF(AND(AF$4&lt;=$H13,AF$4+6&gt;=$G13),1,"")</x:f>
      </x:c>
      <x:c r="AG13" s="162" t="str">
        <x:f>IF(AND(AG$4&lt;=$H13,AG$4+6&gt;=$G13),1,"")</x:f>
      </x:c>
      <x:c r="AH13" s="162" t="str">
        <x:f>IF(AND(AH$4&lt;=$H13,AH$4+6&gt;=$G13),1,"")</x:f>
      </x:c>
      <x:c r="AI13" s="162" t="str">
        <x:f>IF(AND(AI$4&lt;=$H13,AI$4+6&gt;=$G13),1,"")</x:f>
      </x:c>
      <x:c r="AJ13" s="162" t="str">
        <x:f>IF(AND(AJ$4&lt;=$H13,AJ$4+6&gt;=$G13),1,"")</x:f>
      </x:c>
    </x:row>
    <x:row r="14">
      <x:c r="A14" s="142" t="str">
        <x:v>Sprint 9</x:v>
      </x:c>
      <x:c r="B14" s="143" t="str">
        <x:v>DevOps et observabilité</x:v>
      </x:c>
      <x:c r="C14" s="143" t="str">
        <x:v>Docker plateforme, Jenkins, Kubernetes, Prometheus et Grafana</x:v>
      </x:c>
      <x:c r="D14" s="143" t="str">
        <x:v>À faire</x:v>
      </x:c>
      <x:c r="E14" s="144" t="n">
        <x:v>0.2</x:v>
      </x:c>
      <x:c r="F14" s="143" t="str">
        <x:v>Sprint 4</x:v>
      </x:c>
      <x:c r="G14" s="163" t="n">
        <x:v>46384</x:v>
      </x:c>
      <x:c r="H14" s="163" t="n">
        <x:v>46395</x:v>
      </x:c>
      <x:c r="I14" s="143" t="n">
        <x:f>H14-G14+1</x:f>
        <x:v>12</x:v>
      </x:c>
      <x:c r="J14" s="143" t="n">
        <x:v>42</x:v>
      </x:c>
      <x:c r="K14" s="143" t="n">
        <x:f>ROUND(J14*E14,0)</x:f>
        <x:v>8</x:v>
      </x:c>
      <x:c r="L14" s="143" t="str">
        <x:v>Élevé</x:v>
      </x:c>
      <x:c r="M14" s="145" t="str">
        <x:v>DevOps</x:v>
      </x:c>
      <x:c r="N14" s="162" t="str">
        <x:f>IF(AND(N$4&lt;=$H14,N$4+6&gt;=$G14),1,"")</x:f>
      </x:c>
      <x:c r="O14" s="162" t="str">
        <x:f>IF(AND(O$4&lt;=$H14,O$4+6&gt;=$G14),1,"")</x:f>
      </x:c>
      <x:c r="P14" s="162" t="str">
        <x:f>IF(AND(P$4&lt;=$H14,P$4+6&gt;=$G14),1,"")</x:f>
      </x:c>
      <x:c r="Q14" s="162" t="str">
        <x:f>IF(AND(Q$4&lt;=$H14,Q$4+6&gt;=$G14),1,"")</x:f>
      </x:c>
      <x:c r="R14" s="162" t="str">
        <x:f>IF(AND(R$4&lt;=$H14,R$4+6&gt;=$G14),1,"")</x:f>
      </x:c>
      <x:c r="S14" s="162" t="str">
        <x:f>IF(AND(S$4&lt;=$H14,S$4+6&gt;=$G14),1,"")</x:f>
      </x:c>
      <x:c r="T14" s="162" t="str">
        <x:f>IF(AND(T$4&lt;=$H14,T$4+6&gt;=$G14),1,"")</x:f>
      </x:c>
      <x:c r="U14" s="162" t="str">
        <x:f>IF(AND(U$4&lt;=$H14,U$4+6&gt;=$G14),1,"")</x:f>
      </x:c>
      <x:c r="V14" s="162" t="str">
        <x:f>IF(AND(V$4&lt;=$H14,V$4+6&gt;=$G14),1,"")</x:f>
      </x:c>
      <x:c r="W14" s="162" t="str">
        <x:f>IF(AND(W$4&lt;=$H14,W$4+6&gt;=$G14),1,"")</x:f>
      </x:c>
      <x:c r="X14" s="162" t="str">
        <x:f>IF(AND(X$4&lt;=$H14,X$4+6&gt;=$G14),1,"")</x:f>
      </x:c>
      <x:c r="Y14" s="162" t="str">
        <x:f>IF(AND(Y$4&lt;=$H14,Y$4+6&gt;=$G14),1,"")</x:f>
      </x:c>
      <x:c r="Z14" s="162" t="str">
        <x:f>IF(AND(Z$4&lt;=$H14,Z$4+6&gt;=$G14),1,"")</x:f>
      </x:c>
      <x:c r="AA14" s="162" t="str">
        <x:f>IF(AND(AA$4&lt;=$H14,AA$4+6&gt;=$G14),1,"")</x:f>
      </x:c>
      <x:c r="AB14" s="162" t="str">
        <x:f>IF(AND(AB$4&lt;=$H14,AB$4+6&gt;=$G14),1,"")</x:f>
      </x:c>
      <x:c r="AC14" s="162" t="str">
        <x:f>IF(AND(AC$4&lt;=$H14,AC$4+6&gt;=$G14),1,"")</x:f>
      </x:c>
      <x:c r="AD14" s="162" t="str">
        <x:f>IF(AND(AD$4&lt;=$H14,AD$4+6&gt;=$G14),1,"")</x:f>
      </x:c>
      <x:c r="AE14" s="162" t="str">
        <x:f>IF(AND(AE$4&lt;=$H14,AE$4+6&gt;=$G14),1,"")</x:f>
      </x:c>
      <x:c r="AF14" s="162" t="n">
        <x:f>IF(AND(AF$4&lt;=$H14,AF$4+6&gt;=$G14),1,"")</x:f>
        <x:v>1</x:v>
      </x:c>
      <x:c r="AG14" s="162" t="n">
        <x:f>IF(AND(AG$4&lt;=$H14,AG$4+6&gt;=$G14),1,"")</x:f>
        <x:v>1</x:v>
      </x:c>
      <x:c r="AH14" s="162" t="str">
        <x:f>IF(AND(AH$4&lt;=$H14,AH$4+6&gt;=$G14),1,"")</x:f>
      </x:c>
      <x:c r="AI14" s="162" t="str">
        <x:f>IF(AND(AI$4&lt;=$H14,AI$4+6&gt;=$G14),1,"")</x:f>
      </x:c>
      <x:c r="AJ14" s="162" t="str">
        <x:f>IF(AND(AJ$4&lt;=$H14,AJ$4+6&gt;=$G14),1,"")</x:f>
      </x:c>
    </x:row>
    <x:row r="15">
      <x:c r="A15" s="146" t="str">
        <x:v>Sprint 10</x:v>
      </x:c>
      <x:c r="B15" s="147" t="str">
        <x:v>Stabilisation et soutenance</x:v>
      </x:c>
      <x:c r="C15" s="147" t="str">
        <x:v>Tests E2E, charge, documentation, recette et démonstration</x:v>
      </x:c>
      <x:c r="D15" s="147" t="str">
        <x:v>À faire</x:v>
      </x:c>
      <x:c r="E15" s="148" t="n">
        <x:v>0.55</x:v>
      </x:c>
      <x:c r="F15" s="147" t="str">
        <x:v>Sprint 6, Sprint 7, Sprint 9</x:v>
      </x:c>
      <x:c r="G15" s="164" t="n">
        <x:v>46398</x:v>
      </x:c>
      <x:c r="H15" s="164" t="n">
        <x:v>46409</x:v>
      </x:c>
      <x:c r="I15" s="147" t="n">
        <x:f>H15-G15+1</x:f>
        <x:v>12</x:v>
      </x:c>
      <x:c r="J15" s="147" t="n">
        <x:v>39</x:v>
      </x:c>
      <x:c r="K15" s="147" t="n">
        <x:f>ROUND(J15*E15,0)</x:f>
        <x:v>21</x:v>
      </x:c>
      <x:c r="L15" s="147" t="str">
        <x:v>Moyen</x:v>
      </x:c>
      <x:c r="M15" s="149" t="str">
        <x:v>Malek Jendoubi</x:v>
      </x:c>
      <x:c r="N15" s="162" t="str">
        <x:f>IF(AND(N$4&lt;=$H15,N$4+6&gt;=$G15),1,"")</x:f>
      </x:c>
      <x:c r="O15" s="162" t="str">
        <x:f>IF(AND(O$4&lt;=$H15,O$4+6&gt;=$G15),1,"")</x:f>
      </x:c>
      <x:c r="P15" s="162" t="str">
        <x:f>IF(AND(P$4&lt;=$H15,P$4+6&gt;=$G15),1,"")</x:f>
      </x:c>
      <x:c r="Q15" s="162" t="str">
        <x:f>IF(AND(Q$4&lt;=$H15,Q$4+6&gt;=$G15),1,"")</x:f>
      </x:c>
      <x:c r="R15" s="162" t="str">
        <x:f>IF(AND(R$4&lt;=$H15,R$4+6&gt;=$G15),1,"")</x:f>
      </x:c>
      <x:c r="S15" s="162" t="str">
        <x:f>IF(AND(S$4&lt;=$H15,S$4+6&gt;=$G15),1,"")</x:f>
      </x:c>
      <x:c r="T15" s="162" t="str">
        <x:f>IF(AND(T$4&lt;=$H15,T$4+6&gt;=$G15),1,"")</x:f>
      </x:c>
      <x:c r="U15" s="162" t="str">
        <x:f>IF(AND(U$4&lt;=$H15,U$4+6&gt;=$G15),1,"")</x:f>
      </x:c>
      <x:c r="V15" s="162" t="str">
        <x:f>IF(AND(V$4&lt;=$H15,V$4+6&gt;=$G15),1,"")</x:f>
      </x:c>
      <x:c r="W15" s="162" t="str">
        <x:f>IF(AND(W$4&lt;=$H15,W$4+6&gt;=$G15),1,"")</x:f>
      </x:c>
      <x:c r="X15" s="162" t="str">
        <x:f>IF(AND(X$4&lt;=$H15,X$4+6&gt;=$G15),1,"")</x:f>
      </x:c>
      <x:c r="Y15" s="162" t="str">
        <x:f>IF(AND(Y$4&lt;=$H15,Y$4+6&gt;=$G15),1,"")</x:f>
      </x:c>
      <x:c r="Z15" s="162" t="str">
        <x:f>IF(AND(Z$4&lt;=$H15,Z$4+6&gt;=$G15),1,"")</x:f>
      </x:c>
      <x:c r="AA15" s="162" t="str">
        <x:f>IF(AND(AA$4&lt;=$H15,AA$4+6&gt;=$G15),1,"")</x:f>
      </x:c>
      <x:c r="AB15" s="162" t="str">
        <x:f>IF(AND(AB$4&lt;=$H15,AB$4+6&gt;=$G15),1,"")</x:f>
      </x:c>
      <x:c r="AC15" s="162" t="str">
        <x:f>IF(AND(AC$4&lt;=$H15,AC$4+6&gt;=$G15),1,"")</x:f>
      </x:c>
      <x:c r="AD15" s="162" t="str">
        <x:f>IF(AND(AD$4&lt;=$H15,AD$4+6&gt;=$G15),1,"")</x:f>
      </x:c>
      <x:c r="AE15" s="162" t="str">
        <x:f>IF(AND(AE$4&lt;=$H15,AE$4+6&gt;=$G15),1,"")</x:f>
      </x:c>
      <x:c r="AF15" s="162" t="str">
        <x:f>IF(AND(AF$4&lt;=$H15,AF$4+6&gt;=$G15),1,"")</x:f>
      </x:c>
      <x:c r="AG15" s="162" t="str">
        <x:f>IF(AND(AG$4&lt;=$H15,AG$4+6&gt;=$G15),1,"")</x:f>
      </x:c>
      <x:c r="AH15" s="162" t="n">
        <x:f>IF(AND(AH$4&lt;=$H15,AH$4+6&gt;=$G15),1,"")</x:f>
        <x:v>1</x:v>
      </x:c>
      <x:c r="AI15" s="162" t="n">
        <x:f>IF(AND(AI$4&lt;=$H15,AI$4+6&gt;=$G15),1,"")</x:f>
        <x:v>1</x:v>
      </x:c>
      <x:c r="AJ15" s="162" t="str">
        <x:f>IF(AND(AJ$4&lt;=$H15,AJ$4+6&gt;=$G15),1,"")</x:f>
      </x:c>
    </x:row>
  </x:sheetData>
  <x:mergeCells>
    <x:mergeCell ref="A1:AB1"/>
    <x:mergeCell ref="A2:H2"/>
  </x:mergeCells>
  <x:conditionalFormatting sqref="E5:E15">
    <x:cfRule type="dataBar" priority="1">
      <x:dataBar>
        <x:cfvo type="min"/>
        <x:cfvo type="max"/>
        <x:color rgb="FF087E8B"/>
      </x:dataBar>
      <x:extLst>
        <x:ext xmlns:x14="http://schemas.microsoft.com/office/spreadsheetml/2009/9/main" uri="{B025F937-C7B1-47D3-B67F-A62EFF666E3E}">
          <x14:id>{B9A42293-F7E2-875B-E08D-538CF3FA72A8}</x14:id>
        </x:ext>
      </x:extLst>
    </x:cfRule>
  </x:conditionalFormatting>
  <x:conditionalFormatting sqref="L5:L15">
    <x:cfRule type="containsText" dxfId="6" priority="2" operator="containsText" text="Élevé"/>
    <x:cfRule type="containsText" dxfId="7" priority="3" operator="containsText" text="Moyen"/>
  </x:conditionalFormatting>
  <x:conditionalFormatting sqref="N5:N15">
    <x:cfRule type="cellIs" dxfId="8" priority="4" operator="equal">
      <x:formula>1</x:formula>
    </x:cfRule>
  </x:conditionalFormatting>
  <x:conditionalFormatting sqref="O5:O15">
    <x:cfRule type="cellIs" dxfId="9" priority="5" operator="equal">
      <x:formula>1</x:formula>
    </x:cfRule>
  </x:conditionalFormatting>
  <x:conditionalFormatting sqref="P5:P15">
    <x:cfRule type="cellIs" dxfId="10" priority="6" operator="equal">
      <x:formula>1</x:formula>
    </x:cfRule>
  </x:conditionalFormatting>
  <x:conditionalFormatting sqref="Q5:Q15">
    <x:cfRule type="cellIs" dxfId="11" priority="7" operator="equal">
      <x:formula>1</x:formula>
    </x:cfRule>
  </x:conditionalFormatting>
  <x:conditionalFormatting sqref="R5:R15">
    <x:cfRule type="cellIs" dxfId="12" priority="8" operator="equal">
      <x:formula>1</x:formula>
    </x:cfRule>
  </x:conditionalFormatting>
  <x:conditionalFormatting sqref="S5:S15">
    <x:cfRule type="cellIs" dxfId="13" priority="9" operator="equal">
      <x:formula>1</x:formula>
    </x:cfRule>
  </x:conditionalFormatting>
  <x:conditionalFormatting sqref="T5:T15">
    <x:cfRule type="cellIs" dxfId="14" priority="10" operator="equal">
      <x:formula>1</x:formula>
    </x:cfRule>
  </x:conditionalFormatting>
  <x:conditionalFormatting sqref="U5:U15">
    <x:cfRule type="cellIs" dxfId="15" priority="11" operator="equal">
      <x:formula>1</x:formula>
    </x:cfRule>
  </x:conditionalFormatting>
  <x:conditionalFormatting sqref="V5:V15">
    <x:cfRule type="cellIs" dxfId="16" priority="12" operator="equal">
      <x:formula>1</x:formula>
    </x:cfRule>
  </x:conditionalFormatting>
  <x:conditionalFormatting sqref="W5:W15">
    <x:cfRule type="cellIs" dxfId="17" priority="13" operator="equal">
      <x:formula>1</x:formula>
    </x:cfRule>
  </x:conditionalFormatting>
  <x:conditionalFormatting sqref="X5:X15">
    <x:cfRule type="cellIs" dxfId="18" priority="14" operator="equal">
      <x:formula>1</x:formula>
    </x:cfRule>
  </x:conditionalFormatting>
  <x:conditionalFormatting sqref="Y5:Y15">
    <x:cfRule type="cellIs" dxfId="19" priority="15" operator="equal">
      <x:formula>1</x:formula>
    </x:cfRule>
  </x:conditionalFormatting>
  <x:conditionalFormatting sqref="Z5:Z15">
    <x:cfRule type="cellIs" dxfId="20" priority="16" operator="equal">
      <x:formula>1</x:formula>
    </x:cfRule>
  </x:conditionalFormatting>
  <x:conditionalFormatting sqref="AA5:AA15">
    <x:cfRule type="cellIs" dxfId="21" priority="17" operator="equal">
      <x:formula>1</x:formula>
    </x:cfRule>
  </x:conditionalFormatting>
  <x:conditionalFormatting sqref="AB5:AB15">
    <x:cfRule type="cellIs" dxfId="22" priority="18" operator="equal">
      <x:formula>1</x:formula>
    </x:cfRule>
  </x:conditionalFormatting>
  <x:conditionalFormatting sqref="AC5:AC15">
    <x:cfRule type="cellIs" dxfId="23" priority="19" operator="equal">
      <x:formula>1</x:formula>
    </x:cfRule>
  </x:conditionalFormatting>
  <x:conditionalFormatting sqref="AD5:AD15">
    <x:cfRule type="cellIs" dxfId="24" priority="20" operator="equal">
      <x:formula>1</x:formula>
    </x:cfRule>
  </x:conditionalFormatting>
  <x:conditionalFormatting sqref="AE5:AE15">
    <x:cfRule type="cellIs" dxfId="25" priority="21" operator="equal">
      <x:formula>1</x:formula>
    </x:cfRule>
  </x:conditionalFormatting>
  <x:conditionalFormatting sqref="AF5:AF15">
    <x:cfRule type="cellIs" dxfId="26" priority="22" operator="equal">
      <x:formula>1</x:formula>
    </x:cfRule>
  </x:conditionalFormatting>
  <x:conditionalFormatting sqref="AG5:AG15">
    <x:cfRule type="cellIs" dxfId="27" priority="23" operator="equal">
      <x:formula>1</x:formula>
    </x:cfRule>
  </x:conditionalFormatting>
  <x:conditionalFormatting sqref="AH5:AH15">
    <x:cfRule type="cellIs" dxfId="28" priority="24" operator="equal">
      <x:formula>1</x:formula>
    </x:cfRule>
  </x:conditionalFormatting>
  <x:conditionalFormatting sqref="AI5:AI15">
    <x:cfRule type="cellIs" dxfId="29" priority="25" operator="equal">
      <x:formula>1</x:formula>
    </x:cfRule>
  </x:conditionalFormatting>
  <x:conditionalFormatting sqref="AJ5:AJ15">
    <x:cfRule type="cellIs" dxfId="30" priority="26" operator="equal">
      <x:formula>1</x:formula>
    </x:cfRule>
  </x:conditionalFormatting>
  <x:dataValidations count="2">
    <x:dataValidation type="list" sqref="D5:D15">
      <x:formula1>"À faire,En cours,Terminé,Bloqué"</x:formula1>
    </x:dataValidation>
    <x:dataValidation type="list" sqref="L5:L15">
      <x:formula1>"Faible,Moyen,Élevé"</x:formula1>
    </x:dataValidation>
  </x:dataValidations>
  <x:pageMargins left="0.7" right="0.7" top="0.75" bottom="0.75" header="0.3" footer="0.3"/>
  <x:legacyDrawing xmlns:r="http://schemas.openxmlformats.org/officeDocument/2006/relationships" r:id="Rd1c82281f8fb4861"/>
  <x:tableParts count="1">
    <x:tablePart xmlns:r="http://schemas.openxmlformats.org/officeDocument/2006/relationships" r:id="Rd4b6d8872eaa48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9A42293-F7E2-875B-E08D-538CF3FA72A8}">
            <x14:dataBar gradient="1">
              <x14:cfvo type="min"/>
              <x14:cfvo type="max"/>
              <x14:fillColor rgb="FF087E8B"/>
            </x14:dataBar>
          </x14:cfRule>
          <xm:sqref>E5:E15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68" hidden="0" customWidth="1"/>
    <x:col min="4" max="4" width="48" hidden="0" customWidth="1"/>
  </x:cols>
  <x:sheetData>
    <x:row r="1" ht="38" customHeight="1">
      <x:c r="A1" s="134" t="str">
        <x:v>Guide de création dans Jira</x:v>
      </x:c>
      <x:c r="B1" s="134" t="str">
        <x:v>Guide de création dans Jira</x:v>
      </x:c>
      <x:c r="C1" s="134" t="str">
        <x:v>Guide de création dans Jira</x:v>
      </x:c>
      <x:c r="D1" s="134" t="str">
        <x:v>Guide de création dans Jira</x:v>
      </x:c>
      <x:c r="E1" s="134" t="str">
        <x:v>Guide de création dans Jira</x:v>
      </x:c>
      <x:c r="F1" s="134" t="str">
        <x:v>Guide de création dans Jira</x:v>
      </x:c>
      <x:c r="G1" s="134" t="str">
        <x:v>Guide de création dans Jira</x:v>
      </x:c>
      <x:c r="H1" s="134" t="str">
        <x:v>Guide de création dans Jira</x:v>
      </x:c>
      <x:c r="I1" s="135"/>
      <x:c r="J1" s="135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  <x:c r="AA1" s="135"/>
      <x:c r="AB1" s="135"/>
      <x:c r="AC1" s="135"/>
      <x:c r="AD1" s="135"/>
      <x:c r="AE1" s="135"/>
      <x:c r="AF1" s="135"/>
      <x:c r="AG1" s="135"/>
      <x:c r="AH1" s="135"/>
      <x:c r="AI1" s="135"/>
      <x:c r="AJ1" s="135"/>
      <x:c r="AK1" s="135"/>
      <x:c r="AL1" s="135"/>
      <x:c r="AM1" s="135"/>
      <x:c r="AN1" s="135"/>
      <x:c r="AO1" s="135"/>
      <x:c r="AP1" s="135"/>
      <x:c r="AQ1" s="135"/>
      <x:c r="AR1" s="135"/>
      <x:c r="AS1" s="135"/>
      <x:c r="AT1" s="135"/>
      <x:c r="AU1" s="135"/>
      <x:c r="AV1" s="135"/>
      <x:c r="AW1" s="135"/>
      <x:c r="AX1" s="135"/>
      <x:c r="AY1" s="135"/>
      <x:c r="AZ1" s="135"/>
    </x:row>
    <x:row r="2" ht="30" customHeight="1">
      <x:c r="A2" s="136" t="str">
        <x:v>Procédure recommandée pour un projet Scrum STB Sentinel</x:v>
      </x:c>
      <x:c r="B2" s="136" t="str">
        <x:v>Procédure recommandée pour un projet Scrum STB Sentinel</x:v>
      </x:c>
      <x:c r="C2" s="136" t="str">
        <x:v>Procédure recommandée pour un projet Scrum STB Sentinel</x:v>
      </x:c>
      <x:c r="D2" s="136" t="str">
        <x:v>Procédure recommandée pour un projet Scrum STB Sentinel</x:v>
      </x:c>
      <x:c r="E2" s="136" t="str">
        <x:v>Procédure recommandée pour un projet Scrum STB Sentinel</x:v>
      </x:c>
      <x:c r="F2" s="136" t="str">
        <x:v>Procédure recommandée pour un projet Scrum STB Sentinel</x:v>
      </x:c>
      <x:c r="G2" s="136" t="str">
        <x:v>Procédure recommandée pour un projet Scrum STB Sentinel</x:v>
      </x:c>
      <x:c r="H2" s="136" t="str">
        <x:v>Procédure recommandée pour un projet Scrum STB Sentinel</x:v>
      </x:c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  <x:c r="AR2" s="137"/>
      <x:c r="AS2" s="137"/>
      <x:c r="AT2" s="137"/>
      <x:c r="AU2" s="137"/>
      <x:c r="AV2" s="137"/>
      <x:c r="AW2" s="137"/>
      <x:c r="AX2" s="137"/>
      <x:c r="AY2" s="137"/>
      <x:c r="AZ2" s="137"/>
    </x:row>
    <x:row r="3">
      <x:c r="A3" s="115"/>
      <x:c r="B3" s="115"/>
      <x:c r="C3" s="115"/>
      <x:c r="D3" s="115"/>
      <x:c r="E3" s="115"/>
      <x:c r="F3" s="115"/>
      <x:c r="G3" s="115"/>
      <x:c r="H3" s="115"/>
    </x:row>
    <x:row r="4">
      <x:c r="A4" s="124" t="str">
        <x:v>Étape</x:v>
      </x:c>
      <x:c r="B4" s="124" t="str">
        <x:v>Action</x:v>
      </x:c>
      <x:c r="C4" s="124" t="str">
        <x:v>Chemin / opération Jira</x:v>
      </x:c>
      <x:c r="D4" s="124" t="str">
        <x:v>Conseil STB Sentinel</x:v>
      </x:c>
      <x:c r="E4" s="115"/>
      <x:c r="F4" s="115"/>
      <x:c r="G4" s="115"/>
      <x:c r="H4" s="115"/>
    </x:row>
    <x:row r="5">
      <x:c r="A5" s="165" t="str">
        <x:v>1</x:v>
      </x:c>
      <x:c r="B5" s="166" t="str">
        <x:v>Créer le projet</x:v>
      </x:c>
      <x:c r="C5" s="166" t="str">
        <x:v>Projects → Create project → Software development → Scrum → Company-managed</x:v>
      </x:c>
      <x:c r="D5" s="167" t="str">
        <x:v>Choisir la clé STBS</x:v>
      </x:c>
      <x:c r="E5" s="115"/>
      <x:c r="F5" s="115"/>
      <x:c r="G5" s="115"/>
      <x:c r="H5" s="115"/>
    </x:row>
    <x:row r="6">
      <x:c r="A6" s="168" t="str">
        <x:v>2</x:v>
      </x:c>
      <x:c r="B6" s="169" t="str">
        <x:v>Configurer les types</x:v>
      </x:c>
      <x:c r="C6" s="169" t="str">
        <x:v>Conserver Epic, Story, Task, Bug et Sub-task</x:v>
      </x:c>
      <x:c r="D6" s="170" t="str">
        <x:v>Epic → Story/Task → Sub-task</x:v>
      </x:c>
      <x:c r="E6" s="115"/>
      <x:c r="F6" s="115"/>
      <x:c r="G6" s="115"/>
      <x:c r="H6" s="115"/>
    </x:row>
    <x:row r="7">
      <x:c r="A7" s="168" t="str">
        <x:v>3</x:v>
      </x:c>
      <x:c r="B7" s="169" t="str">
        <x:v>Créer les champs</x:v>
      </x:c>
      <x:c r="C7" s="169" t="str">
        <x:v>Story Points, Start date, Due date, État d’implémentation, MoSCoW et Risque</x:v>
      </x:c>
      <x:c r="D7" s="170" t="str">
        <x:v>Les dates alimentent Timeline</x:v>
      </x:c>
      <x:c r="E7" s="115"/>
      <x:c r="F7" s="115"/>
      <x:c r="G7" s="115"/>
      <x:c r="H7" s="115"/>
    </x:row>
    <x:row r="8">
      <x:c r="A8" s="168" t="str">
        <x:v>4</x:v>
      </x:c>
      <x:c r="B8" s="169" t="str">
        <x:v>Créer les Epics</x:v>
      </x:c>
      <x:c r="C8" s="169" t="str">
        <x:v>Reprendre les lignes EP-01 à EP-13 de Product Backlog</x:v>
      </x:c>
      <x:c r="D8" s="170" t="str">
        <x:v>Un Epic représente une grande gestion</x:v>
      </x:c>
      <x:c r="E8" s="115"/>
      <x:c r="F8" s="115"/>
      <x:c r="G8" s="115"/>
      <x:c r="H8" s="115"/>
    </x:row>
    <x:row r="9">
      <x:c r="A9" s="168" t="str">
        <x:v>5</x:v>
      </x:c>
      <x:c r="B9" s="169" t="str">
        <x:v>Importer les Stories</x:v>
      </x:c>
      <x:c r="C9" s="169" t="str">
        <x:v>Exporter la feuille Import Jira en CSV UTF-8 puis External system import → CSV</x:v>
      </x:c>
      <x:c r="D9" s="170" t="str">
        <x:v>Mapper Summary, Issue Type, Epic Link, Sprint, Priority et Story Points</x:v>
      </x:c>
      <x:c r="E9" s="115"/>
      <x:c r="F9" s="115"/>
      <x:c r="G9" s="115"/>
      <x:c r="H9" s="115"/>
    </x:row>
    <x:row r="10">
      <x:c r="A10" s="168" t="str">
        <x:v>6</x:v>
      </x:c>
      <x:c r="B10" s="169" t="str">
        <x:v>Créer les sprints</x:v>
      </x:c>
      <x:c r="C10" s="169" t="str">
        <x:v>Backlog → Create sprint, de Sprint 0 à Sprint 10</x:v>
      </x:c>
      <x:c r="D10" s="170" t="str">
        <x:v>Durée proposée : deux semaines</x:v>
      </x:c>
      <x:c r="E10" s="115"/>
      <x:c r="F10" s="115"/>
      <x:c r="G10" s="115"/>
      <x:c r="H10" s="115"/>
    </x:row>
    <x:row r="11">
      <x:c r="A11" s="168" t="str">
        <x:v>7</x:v>
      </x:c>
      <x:c r="B11" s="169" t="str">
        <x:v>Planifier</x:v>
      </x:c>
      <x:c r="C11" s="169" t="str">
        <x:v>Glisser les Stories dans leur sprint et contrôler la capacité</x:v>
      </x:c>
      <x:c r="D11" s="170" t="str">
        <x:v>20 à 30 SP au départ, à recalibrer</x:v>
      </x:c>
      <x:c r="E11" s="115"/>
      <x:c r="F11" s="115"/>
      <x:c r="G11" s="115"/>
      <x:c r="H11" s="115"/>
    </x:row>
    <x:row r="12">
      <x:c r="A12" s="168" t="str">
        <x:v>8</x:v>
      </x:c>
      <x:c r="B12" s="169" t="str">
        <x:v>Ajouter les dépendances</x:v>
      </x:c>
      <x:c r="C12" s="169" t="str">
        <x:v>Utiliser le lien Blocks / Is blocked by</x:v>
      </x:c>
      <x:c r="D12" s="170" t="str">
        <x:v>Ex. Sprint 6 dépend du Sprint 5</x:v>
      </x:c>
      <x:c r="E12" s="115"/>
      <x:c r="F12" s="115"/>
      <x:c r="G12" s="115"/>
      <x:c r="H12" s="115"/>
    </x:row>
    <x:row r="13">
      <x:c r="A13" s="168" t="str">
        <x:v>9</x:v>
      </x:c>
      <x:c r="B13" s="169" t="str">
        <x:v>Créer le Gantt Jira</x:v>
      </x:c>
      <x:c r="C13" s="169" t="str">
        <x:v>Ouvrir Timeline dans le projet ; renseigner Start date et Due date</x:v>
      </x:c>
      <x:c r="D13" s="170" t="str">
        <x:v>La Timeline est la vue Gantt du projet</x:v>
      </x:c>
      <x:c r="E13" s="115"/>
      <x:c r="F13" s="115"/>
      <x:c r="G13" s="115"/>
      <x:c r="H13" s="115"/>
    </x:row>
    <x:row r="14">
      <x:c r="A14" s="168" t="str">
        <x:v>10</x:v>
      </x:c>
      <x:c r="B14" s="169" t="str">
        <x:v>Planning avancé</x:v>
      </x:c>
      <x:c r="C14" s="169" t="str">
        <x:v>Avec Jira Premium : Plans → Create plan → choisir projet/board/filter</x:v>
      </x:c>
      <x:c r="D14" s="170" t="str">
        <x:v>Utile pour plusieurs projets, équipes et capacité</x:v>
      </x:c>
      <x:c r="E14" s="115"/>
      <x:c r="F14" s="115"/>
      <x:c r="G14" s="115"/>
      <x:c r="H14" s="115"/>
    </x:row>
    <x:row r="15">
      <x:c r="A15" s="168" t="str">
        <x:v>11</x:v>
      </x:c>
      <x:c r="B15" s="169" t="str">
        <x:v>Workflow</x:v>
      </x:c>
      <x:c r="C15" s="169" t="str">
        <x:v>À faire → En cours → Revue → Test → Terminé ; ajouter Bloqué</x:v>
      </x:c>
      <x:c r="D15" s="170" t="str">
        <x:v>La Definition of Done doit être respectée</x:v>
      </x:c>
      <x:c r="E15" s="115"/>
      <x:c r="F15" s="115"/>
      <x:c r="G15" s="115"/>
      <x:c r="H15" s="115"/>
    </x:row>
    <x:row r="16">
      <x:c r="A16" s="171" t="str">
        <x:v>12</x:v>
      </x:c>
      <x:c r="B16" s="172" t="str">
        <x:v>Pilotage</x:v>
      </x:c>
      <x:c r="C16" s="172" t="str">
        <x:v>Suivre burndown, vélocité, CFD, anomalies et blocages</x:v>
      </x:c>
      <x:c r="D16" s="173" t="str">
        <x:v>Faire planning, daily, review et rétrospective</x:v>
      </x:c>
      <x:c r="E16" s="115"/>
      <x:c r="F16" s="115"/>
      <x:c r="G16" s="115"/>
      <x:c r="H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</x:row>
    <x:row r="18">
      <x:c r="A18" s="116" t="str">
        <x:v>Sources officielles Atlassian</x:v>
      </x:c>
      <x:c r="B18" s="116" t="str">
        <x:v>Sources officielles Atlassian</x:v>
      </x:c>
      <x:c r="C18" s="116" t="str">
        <x:v>Sources officielles Atlassian</x:v>
      </x:c>
      <x:c r="D18" s="116" t="str">
        <x:v>Sources officielles Atlassian</x:v>
      </x:c>
      <x:c r="E18" s="115"/>
      <x:c r="F18" s="115"/>
      <x:c r="G18" s="115"/>
      <x:c r="H18" s="115"/>
    </x:row>
    <x:row r="19">
      <x:c r="A19" s="174" t="str">
        <x:v>Timeline</x:v>
      </x:c>
      <x:c r="B19" s="174" t="str">
        <x:v>https://support.atlassian.com/jira-software-cloud/docs/what-is-the-timeline-and-how-do-i-use-it/</x:v>
      </x:c>
      <x:c r="C19" s="174" t="str">
        <x:v>Gantt d’un seul projet</x:v>
      </x:c>
      <x:c r="D19" s="174"/>
      <x:c r="E19" s="115"/>
      <x:c r="F19" s="115"/>
      <x:c r="G19" s="115"/>
      <x:c r="H19" s="115"/>
    </x:row>
    <x:row r="20">
      <x:c r="A20" s="174" t="str">
        <x:v>Plans Premium</x:v>
      </x:c>
      <x:c r="B20" s="174" t="str">
        <x:v>https://support.atlassian.com/jira-software-cloud/docs/what-is-advanced-roadmaps/</x:v>
      </x:c>
      <x:c r="C20" s="174" t="str">
        <x:v>Planification multi-projets et capacité</x:v>
      </x:c>
      <x:c r="D20" s="174"/>
      <x:c r="E20" s="115"/>
      <x:c r="F20" s="115"/>
      <x:c r="G20" s="115"/>
      <x:c r="H20" s="115"/>
    </x:row>
    <x:row r="21">
      <x:c r="A21" s="174" t="str">
        <x:v>Import CSV</x:v>
      </x:c>
      <x:c r="B21" s="174" t="str">
        <x:v>https://support.atlassian.com/jira-cloud-administration/docs/import-and-export-your-data-to-and-from-jira-cloud/</x:v>
      </x:c>
      <x:c r="C21" s="174" t="str">
        <x:v>Importer le backlog</x:v>
      </x:c>
      <x:c r="D21" s="174"/>
      <x:c r="E21" s="115"/>
      <x:c r="F21" s="115"/>
      <x:c r="G21" s="115"/>
      <x:c r="H21" s="115"/>
    </x:row>
  </x:sheetData>
  <x:mergeCells>
    <x:mergeCell ref="A1:D1"/>
    <x:mergeCell ref="A2:D2"/>
    <x:mergeCell ref="A18:D18"/>
  </x:mergeCells>
  <x:pageMargins left="0.7" right="0.7" top="0.75" bottom="0.75" header="0.3" footer="0.3"/>
</x:worksheet>
</file>